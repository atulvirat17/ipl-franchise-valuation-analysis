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kunwaratulang/Desktop/MADS/Semester 3/BM5104H Business Stats and Data Analytics/MTP/Final/"/>
    </mc:Choice>
  </mc:AlternateContent>
  <xr:revisionPtr revIDLastSave="0" documentId="8_{44CEFD96-82BF-1441-8453-EAA1ED89EB1A}" xr6:coauthVersionLast="47" xr6:coauthVersionMax="47" xr10:uidLastSave="{00000000-0000-0000-0000-000000000000}"/>
  <bookViews>
    <workbookView xWindow="0" yWindow="760" windowWidth="29400" windowHeight="17280" tabRatio="500" activeTab="7" xr2:uid="{00000000-000D-0000-FFFF-FFFF00000000}"/>
  </bookViews>
  <sheets>
    <sheet name="Data Dashboard" sheetId="1" r:id="rId1"/>
    <sheet name="2. Descriptives &amp; Correlation" sheetId="2" r:id="rId2"/>
    <sheet name="3. Probability &amp; Distributions" sheetId="3" r:id="rId3"/>
    <sheet name="Raw NRR Data" sheetId="4" r:id="rId4"/>
    <sheet name="4. Confidence Intervals" sheetId="5" r:id="rId5"/>
    <sheet name="5. Hypothesis Testing" sheetId="6" r:id="rId6"/>
    <sheet name="Rough for regression" sheetId="9" r:id="rId7"/>
    <sheet name="6. Regression Engine" sheetId="7" r:id="rId8"/>
    <sheet name="7. Final Recommendation" sheetId="8" r:id="rId9"/>
  </sheets>
  <definedNames>
    <definedName name="solver_eng" localSheetId="0" hidden="1">1</definedName>
    <definedName name="solver_lin" localSheetId="0" hidden="1">2</definedName>
    <definedName name="solver_neg" localSheetId="0" hidden="1">1</definedName>
    <definedName name="solver_num" localSheetId="0" hidden="1">0</definedName>
    <definedName name="solver_opt" localSheetId="0" hidden="1">'Data Dashboard'!$G$5</definedName>
    <definedName name="solver_typ" localSheetId="0" hidden="1">1</definedName>
    <definedName name="solver_val" localSheetId="0" hidden="1">0</definedName>
    <definedName name="solver_ver" localSheetId="0" hidden="1">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7" i="7" l="1"/>
  <c r="D127" i="7"/>
  <c r="C127" i="7"/>
  <c r="B127" i="7"/>
  <c r="A127" i="7"/>
  <c r="E126" i="7"/>
  <c r="D126" i="7"/>
  <c r="C126" i="7"/>
  <c r="B126" i="7"/>
  <c r="A126" i="7"/>
  <c r="E125" i="7"/>
  <c r="D125" i="7"/>
  <c r="C125" i="7"/>
  <c r="B125" i="7"/>
  <c r="A125" i="7"/>
  <c r="E124" i="7"/>
  <c r="D124" i="7"/>
  <c r="C124" i="7"/>
  <c r="B124" i="7"/>
  <c r="A124" i="7"/>
  <c r="E123" i="7"/>
  <c r="D123" i="7"/>
  <c r="C123" i="7"/>
  <c r="B123" i="7"/>
  <c r="A123" i="7"/>
  <c r="E122" i="7"/>
  <c r="D122" i="7"/>
  <c r="C122" i="7"/>
  <c r="B122" i="7"/>
  <c r="A122" i="7"/>
  <c r="E121" i="7"/>
  <c r="D121" i="7"/>
  <c r="C121" i="7"/>
  <c r="B121" i="7"/>
  <c r="A121" i="7"/>
  <c r="E120" i="7"/>
  <c r="D120" i="7"/>
  <c r="C120" i="7"/>
  <c r="B120" i="7"/>
  <c r="A120" i="7"/>
  <c r="E119" i="7"/>
  <c r="D119" i="7"/>
  <c r="C119" i="7"/>
  <c r="B119" i="7"/>
  <c r="A119" i="7"/>
  <c r="E118" i="7"/>
  <c r="D118" i="7"/>
  <c r="C118" i="7"/>
  <c r="B118" i="7"/>
  <c r="A118" i="7"/>
  <c r="D99" i="7"/>
  <c r="C99" i="7"/>
  <c r="B99" i="7"/>
  <c r="A99" i="7"/>
  <c r="D98" i="7"/>
  <c r="C98" i="7"/>
  <c r="B98" i="7"/>
  <c r="A98" i="7"/>
  <c r="D97" i="7"/>
  <c r="C97" i="7"/>
  <c r="B97" i="7"/>
  <c r="A97" i="7"/>
  <c r="D96" i="7"/>
  <c r="C96" i="7"/>
  <c r="B96" i="7"/>
  <c r="A96" i="7"/>
  <c r="D95" i="7"/>
  <c r="C95" i="7"/>
  <c r="B95" i="7"/>
  <c r="A95" i="7"/>
  <c r="D94" i="7"/>
  <c r="C94" i="7"/>
  <c r="B94" i="7"/>
  <c r="A94" i="7"/>
  <c r="D93" i="7"/>
  <c r="C93" i="7"/>
  <c r="B93" i="7"/>
  <c r="A93" i="7"/>
  <c r="D92" i="7"/>
  <c r="C92" i="7"/>
  <c r="B92" i="7"/>
  <c r="A92" i="7"/>
  <c r="D91" i="7"/>
  <c r="C91" i="7"/>
  <c r="B91" i="7"/>
  <c r="A91" i="7"/>
  <c r="D90" i="7"/>
  <c r="C90" i="7"/>
  <c r="B90" i="7"/>
  <c r="A90" i="7"/>
  <c r="D75" i="7"/>
  <c r="C75" i="7"/>
  <c r="B75" i="7"/>
  <c r="A75" i="7"/>
  <c r="D74" i="7"/>
  <c r="C74" i="7"/>
  <c r="B74" i="7"/>
  <c r="A74" i="7"/>
  <c r="D73" i="7"/>
  <c r="C73" i="7"/>
  <c r="B73" i="7"/>
  <c r="A73" i="7"/>
  <c r="D72" i="7"/>
  <c r="C72" i="7"/>
  <c r="B72" i="7"/>
  <c r="A72" i="7"/>
  <c r="D71" i="7"/>
  <c r="C71" i="7"/>
  <c r="B71" i="7"/>
  <c r="A71" i="7"/>
  <c r="D70" i="7"/>
  <c r="C70" i="7"/>
  <c r="B70" i="7"/>
  <c r="A70" i="7"/>
  <c r="D69" i="7"/>
  <c r="C69" i="7"/>
  <c r="B69" i="7"/>
  <c r="A69" i="7"/>
  <c r="D68" i="7"/>
  <c r="C68" i="7"/>
  <c r="B68" i="7"/>
  <c r="A68" i="7"/>
  <c r="D67" i="7"/>
  <c r="C67" i="7"/>
  <c r="B67" i="7"/>
  <c r="A67" i="7"/>
  <c r="D66" i="7"/>
  <c r="C66" i="7"/>
  <c r="B66" i="7"/>
  <c r="A66" i="7"/>
  <c r="B52" i="7"/>
  <c r="A52" i="7"/>
  <c r="B51" i="7"/>
  <c r="A51" i="7"/>
  <c r="B50" i="7"/>
  <c r="A50" i="7"/>
  <c r="B49" i="7"/>
  <c r="A49" i="7"/>
  <c r="B48" i="7"/>
  <c r="A48" i="7"/>
  <c r="B47" i="7"/>
  <c r="A47" i="7"/>
  <c r="B46" i="7"/>
  <c r="A46" i="7"/>
  <c r="B45" i="7"/>
  <c r="A45" i="7"/>
  <c r="B44" i="7"/>
  <c r="A44" i="7"/>
  <c r="B43" i="7"/>
  <c r="A43" i="7"/>
  <c r="D27" i="7"/>
  <c r="B27" i="7"/>
  <c r="A27" i="7"/>
  <c r="D26" i="7"/>
  <c r="B26" i="7"/>
  <c r="A26" i="7"/>
  <c r="D25" i="7"/>
  <c r="B25" i="7"/>
  <c r="A25" i="7"/>
  <c r="D24" i="7"/>
  <c r="B24" i="7"/>
  <c r="A24" i="7"/>
  <c r="D23" i="7"/>
  <c r="B23" i="7"/>
  <c r="A23" i="7"/>
  <c r="D22" i="7"/>
  <c r="B22" i="7"/>
  <c r="A22" i="7"/>
  <c r="D21" i="7"/>
  <c r="B21" i="7"/>
  <c r="A21" i="7"/>
  <c r="D20" i="7"/>
  <c r="B20" i="7"/>
  <c r="A20" i="7"/>
  <c r="D19" i="7"/>
  <c r="B19" i="7"/>
  <c r="A19" i="7"/>
  <c r="D18" i="7"/>
  <c r="B18" i="7"/>
  <c r="A18" i="7"/>
  <c r="B7" i="7" a="1"/>
  <c r="C7" i="7" s="1"/>
  <c r="B37" i="6"/>
  <c r="B41" i="6" s="1"/>
  <c r="B36" i="6"/>
  <c r="C35" i="6"/>
  <c r="B35" i="6"/>
  <c r="C34" i="6"/>
  <c r="B34" i="6"/>
  <c r="C33" i="6"/>
  <c r="B33" i="6"/>
  <c r="B20" i="6"/>
  <c r="B22" i="6" s="1"/>
  <c r="B19" i="6"/>
  <c r="B10" i="6"/>
  <c r="B12" i="6" s="1"/>
  <c r="B9" i="6"/>
  <c r="B8" i="6"/>
  <c r="B7" i="6"/>
  <c r="B6" i="6"/>
  <c r="B8" i="5"/>
  <c r="B7" i="5"/>
  <c r="B6" i="5"/>
  <c r="B35" i="3" a="1"/>
  <c r="B43" i="3" s="1"/>
  <c r="B25" i="3"/>
  <c r="B24" i="3"/>
  <c r="B23" i="3"/>
  <c r="B22" i="3"/>
  <c r="B21" i="3"/>
  <c r="B7" i="3"/>
  <c r="B6" i="3"/>
  <c r="C11" i="3" s="1"/>
  <c r="B55" i="2"/>
  <c r="B54" i="2"/>
  <c r="B53"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H29" i="2"/>
  <c r="G29" i="2"/>
  <c r="E29" i="2"/>
  <c r="D29" i="2"/>
  <c r="C29" i="2"/>
  <c r="B29" i="2"/>
  <c r="H28" i="2"/>
  <c r="G28" i="2"/>
  <c r="E28" i="2"/>
  <c r="D28" i="2"/>
  <c r="C28" i="2"/>
  <c r="B28" i="2"/>
  <c r="H26" i="2"/>
  <c r="G26" i="2"/>
  <c r="E26" i="2"/>
  <c r="D26" i="2"/>
  <c r="C26" i="2"/>
  <c r="B26" i="2"/>
  <c r="H25" i="2"/>
  <c r="G25" i="2"/>
  <c r="E25" i="2"/>
  <c r="D25" i="2"/>
  <c r="C25" i="2"/>
  <c r="B25" i="2"/>
  <c r="H24" i="2"/>
  <c r="G24" i="2"/>
  <c r="E24" i="2"/>
  <c r="D24" i="2"/>
  <c r="C24" i="2"/>
  <c r="B24" i="2"/>
  <c r="H23" i="2"/>
  <c r="G23" i="2"/>
  <c r="E23" i="2"/>
  <c r="D23" i="2"/>
  <c r="C23" i="2"/>
  <c r="B23" i="2"/>
  <c r="B15" i="2"/>
  <c r="B14" i="2"/>
  <c r="B16" i="2" s="1"/>
  <c r="B17" i="2" s="1"/>
  <c r="B11" i="2"/>
  <c r="B10" i="2"/>
  <c r="B9" i="2"/>
  <c r="B8" i="2"/>
  <c r="B7" i="2"/>
  <c r="B6" i="2"/>
  <c r="B5" i="2"/>
  <c r="S14" i="1"/>
  <c r="R14" i="1"/>
  <c r="O14" i="1"/>
  <c r="C27" i="7" s="1"/>
  <c r="S13" i="1"/>
  <c r="R13" i="1"/>
  <c r="O13" i="1"/>
  <c r="F126" i="7" s="1"/>
  <c r="S12" i="1"/>
  <c r="R12" i="1"/>
  <c r="O12" i="1"/>
  <c r="C25" i="7" s="1"/>
  <c r="S11" i="1"/>
  <c r="R11" i="1"/>
  <c r="O11" i="1"/>
  <c r="F124" i="7" s="1"/>
  <c r="S10" i="1"/>
  <c r="R10" i="1"/>
  <c r="O10" i="1"/>
  <c r="F123" i="7" s="1"/>
  <c r="S9" i="1"/>
  <c r="R9" i="1"/>
  <c r="O9" i="1"/>
  <c r="C22" i="7" s="1"/>
  <c r="S8" i="1"/>
  <c r="R8" i="1"/>
  <c r="O8" i="1"/>
  <c r="F121" i="7" s="1"/>
  <c r="S7" i="1"/>
  <c r="R7" i="1"/>
  <c r="O7" i="1"/>
  <c r="C20" i="7" s="1"/>
  <c r="S6" i="1"/>
  <c r="R6" i="1"/>
  <c r="O6" i="1"/>
  <c r="F29" i="2" s="1"/>
  <c r="S5" i="1"/>
  <c r="B39" i="6" s="1"/>
  <c r="B43" i="6" s="1"/>
  <c r="R5" i="1"/>
  <c r="O5" i="1"/>
  <c r="F118" i="7" s="1"/>
  <c r="B38" i="6" l="1"/>
  <c r="B42" i="6" s="1"/>
  <c r="B56" i="7" a="1"/>
  <c r="B60" i="7" s="1"/>
  <c r="B79" i="7" a="1"/>
  <c r="C79" i="7" s="1"/>
  <c r="B44" i="2"/>
  <c r="B46" i="2" s="1"/>
  <c r="B47" i="2" s="1"/>
  <c r="B12" i="3"/>
  <c r="D12" i="3" s="1"/>
  <c r="B9" i="5"/>
  <c r="C12" i="3"/>
  <c r="B14" i="3" s="1"/>
  <c r="B56" i="2"/>
  <c r="B45" i="2"/>
  <c r="B44" i="6"/>
  <c r="B45" i="6" s="1"/>
  <c r="B46" i="6" s="1"/>
  <c r="E79" i="7"/>
  <c r="B82" i="7"/>
  <c r="B81" i="7"/>
  <c r="B85" i="7" s="1"/>
  <c r="C83" i="7"/>
  <c r="C58" i="7"/>
  <c r="B58" i="7"/>
  <c r="B62" i="7" s="1"/>
  <c r="C57" i="7"/>
  <c r="B57" i="7"/>
  <c r="C56" i="7"/>
  <c r="B23" i="6"/>
  <c r="B24" i="6" s="1"/>
  <c r="B25" i="6" s="1"/>
  <c r="B38" i="3"/>
  <c r="B10" i="5"/>
  <c r="B12" i="5" s="1"/>
  <c r="F24" i="2"/>
  <c r="E27" i="2"/>
  <c r="B35" i="3"/>
  <c r="B44" i="3"/>
  <c r="B8" i="7"/>
  <c r="E90" i="7"/>
  <c r="E92" i="7"/>
  <c r="E94" i="7"/>
  <c r="E96" i="7"/>
  <c r="E98" i="7"/>
  <c r="C8" i="7"/>
  <c r="C18" i="7"/>
  <c r="C23" i="7"/>
  <c r="F120" i="7"/>
  <c r="F125" i="7"/>
  <c r="B9" i="7"/>
  <c r="B13" i="7" s="1"/>
  <c r="C9" i="7"/>
  <c r="C21" i="7"/>
  <c r="C26" i="7"/>
  <c r="F122" i="7"/>
  <c r="F127" i="7"/>
  <c r="B10" i="7"/>
  <c r="C10" i="7"/>
  <c r="C19" i="7"/>
  <c r="C24" i="7"/>
  <c r="E91" i="7"/>
  <c r="E93" i="7"/>
  <c r="E95" i="7"/>
  <c r="E97" i="7"/>
  <c r="E99" i="7"/>
  <c r="F119" i="7"/>
  <c r="B131" i="7" s="1" a="1"/>
  <c r="B11" i="7"/>
  <c r="F27" i="2"/>
  <c r="B36" i="3"/>
  <c r="F23" i="2"/>
  <c r="H27" i="2"/>
  <c r="F26" i="2"/>
  <c r="B40" i="3"/>
  <c r="F25" i="2"/>
  <c r="B27" i="2"/>
  <c r="B41" i="3"/>
  <c r="B7" i="7"/>
  <c r="C11" i="7"/>
  <c r="G27" i="2"/>
  <c r="C27" i="2"/>
  <c r="F28" i="2"/>
  <c r="B11" i="3"/>
  <c r="D11" i="3" s="1"/>
  <c r="B42" i="3"/>
  <c r="B37" i="3"/>
  <c r="B39" i="3"/>
  <c r="D27" i="2"/>
  <c r="C82" i="7" l="1"/>
  <c r="C81" i="7"/>
  <c r="B56" i="7"/>
  <c r="B83" i="7"/>
  <c r="E81" i="7"/>
  <c r="C60" i="7"/>
  <c r="E80" i="7"/>
  <c r="D79" i="7"/>
  <c r="B31" i="7" a="1"/>
  <c r="D32" i="7" s="1"/>
  <c r="D83" i="7"/>
  <c r="B80" i="7"/>
  <c r="B59" i="7"/>
  <c r="E83" i="7"/>
  <c r="C80" i="7"/>
  <c r="C59" i="7"/>
  <c r="D81" i="7"/>
  <c r="E82" i="7"/>
  <c r="E55" i="7" a="1"/>
  <c r="E55" i="7" s="1"/>
  <c r="B79" i="7"/>
  <c r="D82" i="7"/>
  <c r="B103" i="7" a="1"/>
  <c r="C105" i="7" s="1"/>
  <c r="D80" i="7"/>
  <c r="F135" i="7"/>
  <c r="F133" i="7"/>
  <c r="F131" i="7"/>
  <c r="E135" i="7"/>
  <c r="E133" i="7"/>
  <c r="E131" i="7"/>
  <c r="B139" i="7" s="1"/>
  <c r="D135" i="7"/>
  <c r="D133" i="7"/>
  <c r="D131" i="7"/>
  <c r="B140" i="7" s="1"/>
  <c r="C135" i="7"/>
  <c r="C133" i="7"/>
  <c r="C131" i="7"/>
  <c r="B141" i="7" s="1"/>
  <c r="B135" i="7"/>
  <c r="B133" i="7"/>
  <c r="F134" i="7"/>
  <c r="F132" i="7"/>
  <c r="B131" i="7"/>
  <c r="B142" i="7" s="1"/>
  <c r="E134" i="7"/>
  <c r="E132" i="7"/>
  <c r="D134" i="7"/>
  <c r="D132" i="7"/>
  <c r="C134" i="7"/>
  <c r="C132" i="7"/>
  <c r="B134" i="7"/>
  <c r="B132" i="7"/>
  <c r="D107" i="7"/>
  <c r="D105" i="7"/>
  <c r="D103" i="7"/>
  <c r="C107" i="7"/>
  <c r="B103" i="7"/>
  <c r="E106" i="7"/>
  <c r="E104" i="7"/>
  <c r="D106" i="7"/>
  <c r="F105" i="7"/>
  <c r="F103" i="7"/>
  <c r="E107" i="7"/>
  <c r="E105" i="7"/>
  <c r="B86" i="7"/>
  <c r="B11" i="5"/>
  <c r="A19" i="5" s="1"/>
  <c r="B31" i="7" l="1"/>
  <c r="E33" i="7"/>
  <c r="E32" i="7"/>
  <c r="B34" i="7"/>
  <c r="F107" i="7"/>
  <c r="B35" i="7"/>
  <c r="D31" i="7"/>
  <c r="C35" i="7"/>
  <c r="F104" i="7"/>
  <c r="E31" i="7"/>
  <c r="B33" i="7"/>
  <c r="B37" i="7" s="1"/>
  <c r="B104" i="7"/>
  <c r="F106" i="7"/>
  <c r="C34" i="7"/>
  <c r="D35" i="7"/>
  <c r="B106" i="7"/>
  <c r="B105" i="7"/>
  <c r="B109" i="7" s="1"/>
  <c r="B110" i="7" s="1"/>
  <c r="B19" i="8" s="1"/>
  <c r="B32" i="7"/>
  <c r="C104" i="7"/>
  <c r="B107" i="7"/>
  <c r="D34" i="7"/>
  <c r="C33" i="7"/>
  <c r="C106" i="7"/>
  <c r="C103" i="7"/>
  <c r="C32" i="7"/>
  <c r="E35" i="7"/>
  <c r="E103" i="7"/>
  <c r="D104" i="7"/>
  <c r="D33" i="7"/>
  <c r="E34" i="7"/>
  <c r="C31" i="7"/>
  <c r="B6" i="8" a="1"/>
  <c r="B6" i="8" s="1"/>
  <c r="B7" i="8" s="1"/>
  <c r="B8" i="8" l="1"/>
  <c r="A11"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<sst xmlns="http://schemas.openxmlformats.org/spreadsheetml/2006/main" count="589" uniqueCount="257">
  <si>
    <t>Data Dashboard — Master Franchise Data (source of truth for all formulas in this workbook)</t>
  </si>
  <si>
    <t>Team</t>
  </si>
  <si>
    <t>2025 Brand Value ($M)</t>
  </si>
  <si>
    <t>2026 Brand Value ($M)</t>
  </si>
  <si>
    <t>Titles</t>
  </si>
  <si>
    <t>Playoff Appearances</t>
  </si>
  <si>
    <t>Finals Reached</t>
  </si>
  <si>
    <t>All-Time Win% (2008-23)</t>
  </si>
  <si>
    <t>All-Time Matches (2008-23)</t>
  </si>
  <si>
    <t>All-Time Wins</t>
  </si>
  <si>
    <t>All-Time Losses</t>
  </si>
  <si>
    <t>Home City GDP ($B)</t>
  </si>
  <si>
    <t>Population (2011 Census)</t>
  </si>
  <si>
    <t>Instagram Followers (M)</t>
  </si>
  <si>
    <t>X Followers (M)</t>
  </si>
  <si>
    <t>Social Followers Total (M)</t>
  </si>
  <si>
    <t>2025 Auction Spend (₹Cr)</t>
  </si>
  <si>
    <t>Founded Year</t>
  </si>
  <si>
    <t>Franchise Era</t>
  </si>
  <si>
    <t>Title Tier</t>
  </si>
  <si>
    <t>Chennai Super Kings</t>
  </si>
  <si>
    <t>Mumbai Indians</t>
  </si>
  <si>
    <t>Royal Challengers Bengaluru</t>
  </si>
  <si>
    <t>Kolkata Knight Riders</t>
  </si>
  <si>
    <t>Sunrisers Hyderabad</t>
  </si>
  <si>
    <t>Rajasthan Royals</t>
  </si>
  <si>
    <t>Delhi Capitals</t>
  </si>
  <si>
    <t>Punjab Kings</t>
  </si>
  <si>
    <t>Gujarat Titans</t>
  </si>
  <si>
    <t>Lucknow Super Giants</t>
  </si>
  <si>
    <t>Blue text = hardcoded input value (sourced from your uploaded data / cited studies).</t>
  </si>
  <si>
    <t>Black text = live formula (recalculates automatically if a blue input cell changes).</t>
  </si>
  <si>
    <t>Legacy/Expansion split is by founding year: teams founded 2008 = Legacy (includes SRH, which entered 2013 replacing the defunct Deccan Chargers slot); GT and LSG (2022 entrants) = Expansion.</t>
  </si>
  <si>
    <t>Data Sources &amp; Limitations</t>
  </si>
  <si>
    <t>• Y variable (2025 Brand Value): Houlihan Lokey 2025 IPL Brand Valuation Study, team-level figures for all 10 franchises.</t>
  </si>
  <si>
    <t>• Titles / Playoff Appearances: cross-referenced against IPL official results through the 2026 season.</t>
  </si>
  <si>
    <t>• All-time win %: aggregated across 16 seasons (2008-2023) of scraped final points tables. Season labels were not present in the source data and were inferred from squad composition (e.g. KTK only existed in 2011, PWI 2011-2013, DCG 2008-2012) — 2024-2026 season tables were not present and are excluded, flagged rather than estimated.</t>
  </si>
  <si>
    <t>• Home City GDP: metropolitan-area estimates (2022-23); India has no official city-level GDP series, so these are institutional approximations, not government statistics.</t>
  </si>
  <si>
    <t>• Social followers: Instagram + X follower counts as tracked in late 2025/2026; a point-in-time snapshot, not a time series.</t>
  </si>
  <si>
    <t>• Auction spend: 2025 mega-auction utilization out of a ₹120 Cr salary cap. Values are nearly identical across teams (₹119.5-120.0 Cr for 9 of 10) — very little cross-team variance for the cap-constrained variable to explain.</t>
  </si>
  <si>
    <t>• Sample size is n=10 franchises throughout this workbook. All statistical tests should be read as descriptive/directional, not high-power inferential results.</t>
  </si>
  <si>
    <t>• Every number on this sheet in black text is a hardcoded input (blue font) or a live formula (black font) — see the color legend at the bottom of this sheet's data table. Every other sheet in this workbook references THIS sheet, so editing a blue input cell here recalculates the entire workbook.</t>
  </si>
  <si>
    <t>Descriptive Statistics &amp; Correlation</t>
  </si>
  <si>
    <t>2.1 Descriptive Measures — 2025 Brand Value ($M)</t>
  </si>
  <si>
    <t>Mean</t>
  </si>
  <si>
    <t>Median</t>
  </si>
  <si>
    <t>Std. Deviation (sample, VAR.S basis)</t>
  </si>
  <si>
    <t>Variance (sample)</t>
  </si>
  <si>
    <t>Min</t>
  </si>
  <si>
    <t>Max</t>
  </si>
  <si>
    <t>N</t>
  </si>
  <si>
    <t>2.2 Pearson Correlation: Auction Spend (2025) vs. All-Time Win %</t>
  </si>
  <si>
    <t>Pearson r</t>
  </si>
  <si>
    <t>n</t>
  </si>
  <si>
    <t>t-statistic  (= r*SQRT(n-2)/SQRT(1-r^2))</t>
  </si>
  <si>
    <t>p-value (two-tailed, df = n-2)</t>
  </si>
  <si>
    <t>2.3 Pearson Correlation Matrix</t>
  </si>
  <si>
    <t>2025 Brand Value</t>
  </si>
  <si>
    <t>Win% (08-23)</t>
  </si>
  <si>
    <t>City GDP</t>
  </si>
  <si>
    <t>Social Followers</t>
  </si>
  <si>
    <t>Auction Spend</t>
  </si>
  <si>
    <t>Population</t>
  </si>
  <si>
    <t>2.4 Spearman Rank Correlation: Win% Rank vs. Brand Value Rank</t>
  </si>
  <si>
    <t>Per-team ranks (RANK.AVG, descending = rank 1 is best)</t>
  </si>
  <si>
    <t>Win% Rank</t>
  </si>
  <si>
    <t>Brand Value Rank</t>
  </si>
  <si>
    <t>Spearman rho</t>
  </si>
  <si>
    <t>t-statistic</t>
  </si>
  <si>
    <t>p-value (two-tailed approx., df = n-2)</t>
  </si>
  <si>
    <t>Interpretation: near-zero/slightly negative — a team's rank by all-time win% is essentially uncorrelated with its rank by 2025 brand value.</t>
  </si>
  <si>
    <t>2.5 Partial Correlation: Titles vs. Brand Value, controlling for City GDP</t>
  </si>
  <si>
    <t>No native Excel function computes partial correlation directly. Built transparently below from three CORREL() calls using the standard formula: r(XY.Z) = (rXY - rXZ*rYZ) / SQRT((1-rXZ²)(1-rYZ²)).</t>
  </si>
  <si>
    <t>rXY = CORREL(Titles, Brand Value)</t>
  </si>
  <si>
    <t>rXZ = CORREL(Titles, GDP)</t>
  </si>
  <si>
    <t>rYZ = CORREL(Brand Value, GDP)</t>
  </si>
  <si>
    <t>Partial r (Titles, Brand Value | GDP)</t>
  </si>
  <si>
    <t>Interpretation: the Titles-Brand Value relationship barely moves after controlling for market size — titles carry real, independent explanatory weight.</t>
  </si>
  <si>
    <t>Probability &amp; Distributions</t>
  </si>
  <si>
    <t>3.1 Conditional Probability: P(Above-median Playoff Appearances | Top-50% Auction Spend)</t>
  </si>
  <si>
    <t>Median 2025 Auction Spend (₹Cr)</t>
  </si>
  <si>
    <t>Median Playoff Appearances</t>
  </si>
  <si>
    <t>Contingency table (n=10 franchises, live COUNTIFS)</t>
  </si>
  <si>
    <t>Top-50% 2025 Auction Spend?</t>
  </si>
  <si>
    <t>Below-median Playoffs</t>
  </si>
  <si>
    <t>Above-median Playoffs</t>
  </si>
  <si>
    <t>Total</t>
  </si>
  <si>
    <t>No</t>
  </si>
  <si>
    <t>Yes</t>
  </si>
  <si>
    <t>P(Above-median playoffs | Top-50% spend)</t>
  </si>
  <si>
    <t>Interpretation: spending in the top half of the (very narrow) auction band does not meaningfully raise the odds of above-median playoff appearances in this sample — consistent with the weak spend-win correlation in Sheet 2.</t>
  </si>
  <si>
    <t>3.2 Normal Distribution Check: Net Run Rate (NRR), 2009-2023 seasons</t>
  </si>
  <si>
    <t>Sample: n =  team-season observations, live-counted from 'Raw NRR Data'.</t>
  </si>
  <si>
    <t>Mean NRR</t>
  </si>
  <si>
    <t>Std. Deviation (sample)</t>
  </si>
  <si>
    <t>Skewness (native SKEW — 0 = symmetric)</t>
  </si>
  <si>
    <t>Excess Kurtosis (native KURT — 0 = normal-like tails)</t>
  </si>
  <si>
    <t>Shapiro-Wilk W  (Python-computed, not a formula)</t>
  </si>
  <si>
    <t>p-value  (Python-computed, not a formula)</t>
  </si>
  <si>
    <t>Fail to reject H0 — consistent with Normal (p &gt; 0.05).</t>
  </si>
  <si>
    <t>Histogram (native FREQUENCY array formula)</t>
  </si>
  <si>
    <t>Bin upper bound</t>
  </si>
  <si>
    <t>Frequency</t>
  </si>
  <si>
    <t>Raw NRR Data — team-season Net Run Rate, 2009-2023 finals tables</t>
  </si>
  <si>
    <t>Season (inferred)</t>
  </si>
  <si>
    <t>Position</t>
  </si>
  <si>
    <t>NRR</t>
  </si>
  <si>
    <t>1 Q</t>
  </si>
  <si>
    <t>2 Q</t>
  </si>
  <si>
    <t>3 Q</t>
  </si>
  <si>
    <t>4 Q</t>
  </si>
  <si>
    <t>5</t>
  </si>
  <si>
    <t>6</t>
  </si>
  <si>
    <t>7</t>
  </si>
  <si>
    <t>8</t>
  </si>
  <si>
    <t>9</t>
  </si>
  <si>
    <t>10</t>
  </si>
  <si>
    <t>1</t>
  </si>
  <si>
    <t>3</t>
  </si>
  <si>
    <t>4</t>
  </si>
  <si>
    <t>2</t>
  </si>
  <si>
    <t>Rising Pune Supergiant</t>
  </si>
  <si>
    <t>Gujarat Lions</t>
  </si>
  <si>
    <t>Pune Warriors India</t>
  </si>
  <si>
    <t>Deccan Chargers</t>
  </si>
  <si>
    <t>Kochi Tuskers Kerala</t>
  </si>
  <si>
    <t>Statistical Inference &amp; Confidence Intervals</t>
  </si>
  <si>
    <t>95% Confidence Interval — Mean 2025 Franchise Brand Value</t>
  </si>
  <si>
    <t>Sample size (n)</t>
  </si>
  <si>
    <t>Sample mean ($M)</t>
  </si>
  <si>
    <t>Sample std. deviation ($M)</t>
  </si>
  <si>
    <t>Standard error of the mean</t>
  </si>
  <si>
    <t>Margin of error @ 95% (CONFIDENCE.T, t-dist, df=n-1)</t>
  </si>
  <si>
    <t>95% CI lower bound ($M)</t>
  </si>
  <si>
    <t>95% CI upper bound ($M)</t>
  </si>
  <si>
    <t>Method note</t>
  </si>
  <si>
    <t>CONFIDENCE.T uses the t-distribution (df = n-1), appropriate for a small sample with unknown population variance. It returns the same margin as MEAN ± T.INV.2T(0.05,n-1)*SEM. With n=10 this interval is wide — read it as a rough planning range, not a precision estimate.</t>
  </si>
  <si>
    <t>The Pitch</t>
  </si>
  <si>
    <t>Hypothesis Testing — The Myths</t>
  </si>
  <si>
    <t>5.1 Two-Sample t-Test: Legacy (2008) vs. Expansion Franchises — 2025 Brand Value</t>
  </si>
  <si>
    <t>H0: No difference in brand value based on franchise age (legacy vs. expansion).</t>
  </si>
  <si>
    <t>Legacy n</t>
  </si>
  <si>
    <t>Legacy mean Brand Value ($M)</t>
  </si>
  <si>
    <t>Expansion n</t>
  </si>
  <si>
    <t>Expansion mean Brand Value ($M)</t>
  </si>
  <si>
    <t>Conclusion:</t>
  </si>
  <si>
    <t>Legacy franchises have a statistically higher mean brand value in this sample. (Note: only n=2 expansion franchises — GT and LSG — treat with real caution.)</t>
  </si>
  <si>
    <t>5.2 One-Sample Test: RCB Win% vs. League-Neutral 50%</t>
  </si>
  <si>
    <t>H0: RCB's all-time (2008-2023) win percentage equals 50%.</t>
  </si>
  <si>
    <t>RCB win % (2008-2023), as proportion</t>
  </si>
  <si>
    <t>RCB matches, n</t>
  </si>
  <si>
    <t>Hypothesized proportion, p0</t>
  </si>
  <si>
    <t>Standard error = SQRT(p0*(1-p0)/n)</t>
  </si>
  <si>
    <t>p-value (two-tailed) = 2*(1-NORM.S.DIST(ABS(z),TRUE))</t>
  </si>
  <si>
    <t>RCB's long-run win rate is statistically indistinguishable from 50%, despite the team's reputation (until 2025) as a chronic underachiever — the 'RCB always chokes' narrative is not supported by the all-time numbers; it's a small-sample recency / finals-drought effect.</t>
  </si>
  <si>
    <t>5.3 One-Way ANOVA (F-Test): 2025 Auction Spend across Title Tiers</t>
  </si>
  <si>
    <t>H0: Mean 2025 auction spend is equal across Zero / Single / Multiple-title tiers.</t>
  </si>
  <si>
    <t>Tier</t>
  </si>
  <si>
    <t>Mean Spend (₹Cr)</t>
  </si>
  <si>
    <t>Zero titles</t>
  </si>
  <si>
    <t>Single title</t>
  </si>
  <si>
    <t>Multiple titles</t>
  </si>
  <si>
    <t>Grand mean</t>
  </si>
  <si>
    <t>Grand n</t>
  </si>
  <si>
    <t>SSB (between-group sum of squares)</t>
  </si>
  <si>
    <t>SSW (within-group sum of squares)</t>
  </si>
  <si>
    <t>df between (k-1)</t>
  </si>
  <si>
    <t>df within (N-k)</t>
  </si>
  <si>
    <t>MSB = SSB/dfB</t>
  </si>
  <si>
    <t>MSW = SSW/dfW</t>
  </si>
  <si>
    <t>F = MSB / MSW</t>
  </si>
  <si>
    <t>p-value = F.DIST.RT(F, dfB, dfW)</t>
  </si>
  <si>
    <t>No significant difference in auction spend across title tiers. Title-winners don't out-spend everyone else; the hard salary cap means everybody spends roughly the same amount, win or lose.</t>
  </si>
  <si>
    <t>Advanced Regression — The Valuation Engine</t>
  </si>
  <si>
    <t>6.1 Simple Linear Regression:  Brand Value = β0 + β1(Titles Won)</t>
  </si>
  <si>
    <t>LINEST(Y, X, TRUE, TRUE) — 5-row stats output. Column order below is Titles, then Intercept (LINEST convention: last X first).</t>
  </si>
  <si>
    <t>LINEST output row</t>
  </si>
  <si>
    <t>Titles (β1)</t>
  </si>
  <si>
    <t>Intercept (β0)</t>
  </si>
  <si>
    <t>Coefficient</t>
  </si>
  <si>
    <t>Standard Error</t>
  </si>
  <si>
    <t>R² / SE(y)</t>
  </si>
  <si>
    <t>F-statistic / df resid</t>
  </si>
  <si>
    <t>SS regression / SS resid</t>
  </si>
  <si>
    <t>R-squared = B9</t>
  </si>
  <si>
    <t>6.2 Multiple Linear Regression:  Brand Value = β0 + β1(Win%) + β2(Social Followers) + β3(City Population)</t>
  </si>
  <si>
    <t>Win%</t>
  </si>
  <si>
    <t>Social Followers (M)</t>
  </si>
  <si>
    <t>Population (β)</t>
  </si>
  <si>
    <t>Social Followers (β)</t>
  </si>
  <si>
    <t>Win% (β)</t>
  </si>
  <si>
    <t>R-squared</t>
  </si>
  <si>
    <t>6.3 Hierarchical Regression</t>
  </si>
  <si>
    <t>Block 1 — The Uncontrollables: City GDP only</t>
  </si>
  <si>
    <t>City GDP ($B)</t>
  </si>
  <si>
    <t>GDP (β)</t>
  </si>
  <si>
    <t>Block 1 R²</t>
  </si>
  <si>
    <t>Block 2 — + On-field: Win% and Titles</t>
  </si>
  <si>
    <t>Titles (β)</t>
  </si>
  <si>
    <t>Block 2 R²</t>
  </si>
  <si>
    <t>ΔR² (Block 2 vs Block 1)</t>
  </si>
  <si>
    <t>Block 3 — + Off-field: Social Media Followers</t>
  </si>
  <si>
    <t>Social (β)</t>
  </si>
  <si>
    <t>Block 3 R²</t>
  </si>
  <si>
    <t>ΔR² (Block 3 vs Block 2)</t>
  </si>
  <si>
    <t>Reading the R² progression: market size alone (GDP) explains a modest share of brand-value variance. Adding on-field performance (win% + titles) produces the biggest jump. Adding social media on top of both still adds further R² — meaning digital engagement is not just a byproduct of winning; it explains brand value on its own.</t>
  </si>
  <si>
    <t>6.4 Standardized Beta Coefficients (Final Block 3 Model)</t>
  </si>
  <si>
    <t>Z: Brand Value</t>
  </si>
  <si>
    <t>Z: GDP</t>
  </si>
  <si>
    <t>Z: Win%</t>
  </si>
  <si>
    <t>Z: Titles</t>
  </si>
  <si>
    <t>Z: Social Followers</t>
  </si>
  <si>
    <t>Social (β*)</t>
  </si>
  <si>
    <t>Titles (β*)</t>
  </si>
  <si>
    <t>Win% (β*)</t>
  </si>
  <si>
    <t>GDP (β*)</t>
  </si>
  <si>
    <t>Intercept (≈0)</t>
  </si>
  <si>
    <t>Standardized Beta Summary</t>
  </si>
  <si>
    <t>Variable</t>
  </si>
  <si>
    <t>Standardized Beta</t>
  </si>
  <si>
    <t>Win %</t>
  </si>
  <si>
    <t>The Final Recommendation</t>
  </si>
  <si>
    <t>Business Directive</t>
  </si>
  <si>
    <t>Top-weighted variable (live lookup)</t>
  </si>
  <si>
    <t>Max |standardized beta|</t>
  </si>
  <si>
    <t>Top variable name</t>
  </si>
  <si>
    <t>Top variable beta (signed)</t>
  </si>
  <si>
    <t>Why (key figures pulled live from Sheets 2 and 6)</t>
  </si>
  <si>
    <t>• Social media followers has the strongest zero-order correlation with brand value of anything tested (see Sheet 2, Correlation Matrix, 'Social Followers' row/column) — ahead of Titles, and far ahead of all-time Win%.</t>
  </si>
  <si>
    <t>ΔR² (Block 3 vs Block 2, live from Regression Engine)</t>
  </si>
  <si>
    <t>• In the hierarchical model, adding social media on top of performance and market size still adds the ΔR² shown above — it is not just riding on the coattails of winning.</t>
  </si>
  <si>
    <t>• Auction spend shows no significant relationship with either win% or title tier (see Sheet 2 §2.2 and Sheet 5 §5.3 p-values) — the hard salary cap has flattened this lever almost to nothing as a differentiator.</t>
  </si>
  <si>
    <t>• This does NOT mean performance is irrelevant — Titles remains the second-largest standardized beta (see Sheet 6 §6.4) and the partial correlation with brand value survives controlling for market size (Sheet 2 §2.5). It means digital engagement converts into brand value at least as efficiently as trophies, and far more efficiently than marginal auction spend, which has essentially no room left to move under the cap.</t>
  </si>
  <si>
    <t>• n = 10. Every statistic in this workbook is descriptive/directional, not a high-power inferential result — say this out loud before anyone quotes a p-value as gospel.</t>
  </si>
  <si>
    <t>• Correlation, not causation: it's plausible that winning teams simply invest more in content production, so social growth could be partly downstream of on-field success rather than a fully independent lever.</t>
  </si>
  <si>
    <t>• All-time win% (2008-2023) does not include the 2024-2026 seasons, which weren't in the available data — recent-form effects are not captured here.</t>
  </si>
  <si>
    <t>• Brand value itself is a third-party estimate (Houlihan Lokey), not an audited financial statement.</t>
  </si>
  <si>
    <r>
      <t xml:space="preserve">Interpretation — </t>
    </r>
    <r>
      <rPr>
        <sz val="10"/>
        <color rgb="FFFF0000"/>
        <rFont val="Arial"/>
        <family val="2"/>
      </rPr>
      <t>'Does money buy wins?'</t>
    </r>
    <r>
      <rPr>
        <sz val="10"/>
        <rFont val="Arial"/>
        <family val="2"/>
      </rPr>
      <t xml:space="preserve">: </t>
    </r>
    <r>
      <rPr>
        <sz val="10"/>
        <color rgb="FF00B050"/>
        <rFont val="Arial"/>
        <family val="2"/>
      </rPr>
      <t>weak and not statistically significant</t>
    </r>
    <r>
      <rPr>
        <sz val="10"/>
        <rFont val="Arial"/>
        <family val="2"/>
      </rPr>
      <t>. The 2025 mega-auction salary cap compresses spend into a very narrow band (~₹119.5-120.0 Cr for 9 of 10 teams), leaving almost no cross-team variance for win% to correlate with.</t>
    </r>
  </si>
  <si>
    <t xml:space="preserve"> season-by-season points tables </t>
  </si>
  <si>
    <t>Caveat for the room: this interval describes the spread of 8  established and 2 new , already-successful franchises. A brand-new 2027 team has no track record, no title equity, and an unknown fanbase — its realistic starting brand value is more likely to sit near the low end of this range (or below it) than the middle.</t>
  </si>
  <si>
    <t xml:space="preserve">p-value </t>
  </si>
  <si>
    <t xml:space="preserve">z-statistic = </t>
  </si>
  <si>
    <t>Almost Equal due to fixed purse size.</t>
  </si>
  <si>
    <t>Limitations in the data</t>
  </si>
  <si>
    <t>Column1</t>
  </si>
  <si>
    <t>Column2</t>
  </si>
  <si>
    <t>Column3</t>
  </si>
  <si>
    <t>Mode</t>
  </si>
  <si>
    <t>Standard Deviation</t>
  </si>
  <si>
    <t>Sample Variance</t>
  </si>
  <si>
    <t>Kurtosis</t>
  </si>
  <si>
    <t>Skewness</t>
  </si>
  <si>
    <t>Range</t>
  </si>
  <si>
    <t>Minimum</t>
  </si>
  <si>
    <t>Maximum</t>
  </si>
  <si>
    <t>Sum</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</si>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</sst>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21" x14ac:knownFonts="1">
    <font>
      <sz val="11"/>
      <color theme="1"/>
      <name val="Calibri"/>
      <family val="2"/>
      <charset val="1"/>
    </font>
    <font>
      <sz val="10"/>
      <name val="Arial"/>
      <family val="2"/>
    </font>
    <font>
      <b/>
      <sz val="16"/>
      <color rgb="FF1F3864"/>
      <name val="Arial"/>
      <family val="2"/>
    </font>
    <font>
      <i/>
      <sz val="10"/>
      <color rgb="FF595959"/>
      <name val="Arial"/>
      <family val="2"/>
    </font>
    <font>
      <b/>
      <sz val="10"/>
      <color rgb="FFFFFFFF"/>
      <name val="Arial"/>
      <family val="2"/>
    </font>
    <font>
      <sz val="10"/>
      <name val="Arial"/>
      <family val="2"/>
    </font>
    <font>
      <sz val="10"/>
      <color rgb="FF0000FF"/>
      <name val="Arial"/>
      <family val="2"/>
    </font>
    <font>
      <i/>
      <sz val="9"/>
      <color rgb="FF7F7F7F"/>
      <name val="Arial"/>
      <family val="2"/>
    </font>
    <font>
      <b/>
      <sz val="13"/>
      <color rgb="FF1F3864"/>
      <name val="Arial"/>
      <family val="2"/>
    </font>
    <font>
      <b/>
      <sz val="10"/>
      <name val="Arial"/>
      <family val="2"/>
    </font>
    <font>
      <b/>
      <sz val="10"/>
      <color rgb="FFC00000"/>
      <name val="Arial"/>
      <family val="2"/>
    </font>
    <font>
      <b/>
      <sz val="14"/>
      <color rgb="FFBF8F00"/>
      <name val="Arial"/>
      <family val="2"/>
    </font>
    <font>
      <b/>
      <i/>
      <sz val="12"/>
      <color rgb="FF1F3864"/>
      <name val="Arial"/>
      <family val="2"/>
    </font>
    <font>
      <sz val="10"/>
      <color rgb="FF008000"/>
      <name val="Arial"/>
      <family val="2"/>
    </font>
    <font>
      <b/>
      <sz val="12"/>
      <color rgb="FF1F3864"/>
      <name val="Arial"/>
      <family val="2"/>
    </font>
    <font>
      <sz val="10"/>
      <color rgb="FFFF0000"/>
      <name val="Arial"/>
      <family val="2"/>
    </font>
    <font>
      <sz val="10"/>
      <color rgb="FF00B050"/>
      <name val="Arial"/>
      <family val="2"/>
    </font>
    <font>
      <sz val="11"/>
      <color rgb="FFFF0000"/>
      <name val="Calibri"/>
      <family val="2"/>
    </font>
    <font>
      <sz val="10"/>
      <color theme="5"/>
      <name val="Arial"/>
      <family val="2"/>
    </font>
    <font>
      <i/>
      <sz val="9"/>
      <color rgb="FFFF0000"/>
      <name val="Arial"/>
      <family val="2"/>
    </font>
    <font>
      <i/>
      <sz val="11"/>
      <color theme="1"/>
      <name val="Calibri"/>
      <family val="2"/>
      <charset val="1"/>
    </font>
  </fonts>
  <fills count="3">
    <fill>
      <patternFill patternType="none"/>
    </fill>
    <fill>
      <patternFill patternType="gray125"/>
    </fill>
    <fill>
      <patternFill patternType="solid">
        <fgColor rgb="FF1F3864"/>
        <bgColor rgb="FF333333"/>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8">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1" xfId="0" applyFont="1" applyBorder="1"/>
    <xf numFmtId="1" fontId="6" fillId="0" borderId="1" xfId="0" applyNumberFormat="1" applyFont="1" applyBorder="1"/>
    <xf numFmtId="2" fontId="6" fillId="0" borderId="1" xfId="0" applyNumberFormat="1" applyFont="1" applyBorder="1"/>
    <xf numFmtId="3" fontId="6" fillId="0" borderId="1" xfId="0" applyNumberFormat="1" applyFont="1" applyBorder="1"/>
    <xf numFmtId="164" fontId="6" fillId="0" borderId="1" xfId="0" applyNumberFormat="1" applyFont="1" applyBorder="1"/>
    <xf numFmtId="164" fontId="5" fillId="0" borderId="1" xfId="0" applyNumberFormat="1" applyFont="1" applyBorder="1"/>
    <xf numFmtId="0" fontId="7" fillId="0" borderId="0" xfId="0" applyFont="1"/>
    <xf numFmtId="0" fontId="8" fillId="0" borderId="0" xfId="0" applyFont="1"/>
    <xf numFmtId="0" fontId="5" fillId="0" borderId="0" xfId="0" applyFont="1"/>
    <xf numFmtId="2" fontId="5" fillId="0" borderId="0" xfId="0" applyNumberFormat="1" applyFont="1"/>
    <xf numFmtId="1" fontId="5" fillId="0" borderId="0" xfId="0" applyNumberFormat="1" applyFont="1"/>
    <xf numFmtId="165" fontId="9" fillId="0" borderId="0" xfId="0" applyNumberFormat="1" applyFont="1"/>
    <xf numFmtId="165" fontId="5" fillId="0" borderId="0" xfId="0" applyNumberFormat="1" applyFont="1"/>
    <xf numFmtId="0" fontId="0" fillId="2" borderId="0" xfId="0" applyFill="1"/>
    <xf numFmtId="0" fontId="9" fillId="0" borderId="1" xfId="0" applyFont="1" applyBorder="1"/>
    <xf numFmtId="2" fontId="5" fillId="0" borderId="1" xfId="0" applyNumberFormat="1" applyFont="1" applyBorder="1" applyAlignment="1">
      <alignment horizontal="center"/>
    </xf>
    <xf numFmtId="0" fontId="9" fillId="0" borderId="0" xfId="0" applyFont="1"/>
    <xf numFmtId="2" fontId="9" fillId="0" borderId="0" xfId="0" applyNumberFormat="1" applyFont="1"/>
    <xf numFmtId="0" fontId="10" fillId="0" borderId="0" xfId="0" applyFont="1"/>
    <xf numFmtId="0" fontId="0" fillId="0" borderId="1" xfId="0" applyBorder="1"/>
    <xf numFmtId="0" fontId="6" fillId="0" borderId="1" xfId="0" applyFont="1" applyBorder="1"/>
    <xf numFmtId="0" fontId="11" fillId="0" borderId="0" xfId="0" applyFont="1"/>
    <xf numFmtId="165" fontId="5" fillId="0" borderId="1" xfId="0" applyNumberFormat="1" applyFont="1" applyBorder="1"/>
    <xf numFmtId="0" fontId="13" fillId="0" borderId="1" xfId="0" applyFont="1" applyBorder="1"/>
    <xf numFmtId="2" fontId="13" fillId="0" borderId="1" xfId="0" applyNumberFormat="1" applyFont="1" applyBorder="1"/>
    <xf numFmtId="164" fontId="13" fillId="0" borderId="1" xfId="0" applyNumberFormat="1" applyFont="1" applyBorder="1"/>
    <xf numFmtId="3" fontId="13" fillId="0" borderId="1" xfId="0" applyNumberFormat="1" applyFont="1" applyBorder="1"/>
    <xf numFmtId="0" fontId="4" fillId="2" borderId="0" xfId="0" applyFont="1" applyFill="1"/>
    <xf numFmtId="1" fontId="13" fillId="0" borderId="1" xfId="0" applyNumberFormat="1" applyFont="1" applyBorder="1"/>
    <xf numFmtId="1" fontId="15" fillId="0" borderId="1" xfId="0" applyNumberFormat="1" applyFont="1" applyBorder="1"/>
    <xf numFmtId="0" fontId="1" fillId="0" borderId="0" xfId="0" applyFont="1"/>
    <xf numFmtId="2" fontId="15" fillId="0" borderId="1" xfId="0" applyNumberFormat="1" applyFont="1" applyBorder="1"/>
    <xf numFmtId="0" fontId="17" fillId="0" borderId="0" xfId="0" applyFont="1"/>
    <xf numFmtId="3" fontId="15" fillId="0" borderId="1" xfId="0" applyNumberFormat="1" applyFont="1" applyBorder="1"/>
    <xf numFmtId="164" fontId="15" fillId="0" borderId="1" xfId="0" applyNumberFormat="1" applyFont="1" applyBorder="1"/>
    <xf numFmtId="2" fontId="18" fillId="0" borderId="1" xfId="0" applyNumberFormat="1" applyFont="1" applyBorder="1"/>
    <xf numFmtId="0" fontId="0" fillId="0" borderId="2" xfId="0" applyBorder="1"/>
    <xf numFmtId="0" fontId="20" fillId="0" borderId="3" xfId="0" applyFont="1" applyBorder="1" applyAlignment="1">
      <alignment horizontal="center"/>
    </xf>
    <xf numFmtId="0" fontId="7" fillId="0" borderId="0" xfId="0" applyFont="1" applyAlignment="1">
      <alignment vertical="top" wrapText="1"/>
    </xf>
    <xf numFmtId="0" fontId="5" fillId="0" borderId="0" xfId="0" applyFont="1" applyAlignment="1">
      <alignment vertical="top" wrapText="1"/>
    </xf>
    <xf numFmtId="0" fontId="1" fillId="0" borderId="0" xfId="0" applyFont="1" applyAlignment="1">
      <alignment vertical="top" wrapText="1"/>
    </xf>
    <xf numFmtId="0" fontId="12" fillId="0" borderId="0" xfId="0" applyFont="1" applyAlignment="1">
      <alignment vertical="top" wrapText="1"/>
    </xf>
    <xf numFmtId="0" fontId="14" fillId="0" borderId="0" xfId="0" applyFont="1" applyAlignment="1">
      <alignment vertical="top" wrapText="1"/>
    </xf>
    <xf numFmtId="0" fontId="19"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BF8F00"/>
      <rgbColor rgb="FFFF6600"/>
      <rgbColor rgb="FF595959"/>
      <rgbColor rgb="FF87878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2025 Brand Value vs. Titles Won (the Hook)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Teams</c:v>
          </c:tx>
          <c:spPr>
            <a:ln w="9525" cap="rnd">
              <a:no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cap="rnd">
                <a:no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'Data Dashboard'!$D$5:$D$14</c:f>
              <c:numCache>
                <c:formatCode>0</c:formatCode>
                <c:ptCount val="10"/>
                <c:pt idx="0">
                  <c:v>5</c:v>
                </c:pt>
                <c:pt idx="1">
                  <c:v>5</c:v>
                </c:pt>
                <c:pt idx="2">
                  <c:v>2</c:v>
                </c:pt>
                <c:pt idx="3">
                  <c:v>3</c:v>
                </c:pt>
                <c:pt idx="4">
                  <c:v>1</c:v>
                </c:pt>
                <c:pt idx="5">
                  <c:v>1</c:v>
                </c:pt>
                <c:pt idx="6">
                  <c:v>0</c:v>
                </c:pt>
                <c:pt idx="7">
                  <c:v>0</c:v>
                </c:pt>
                <c:pt idx="8">
                  <c:v>1</c:v>
                </c:pt>
                <c:pt idx="9">
                  <c:v>0</c:v>
                </c:pt>
              </c:numCache>
            </c:numRef>
          </c:xVal>
          <c:yVal>
            <c:numRef>
              <c:f>'Data Dashboard'!$B$5:$B$14</c:f>
              <c:numCache>
                <c:formatCode>0</c:formatCode>
                <c:ptCount val="10"/>
                <c:pt idx="0">
                  <c:v>235</c:v>
                </c:pt>
                <c:pt idx="1">
                  <c:v>242</c:v>
                </c:pt>
                <c:pt idx="2">
                  <c:v>269</c:v>
                </c:pt>
                <c:pt idx="3">
                  <c:v>227</c:v>
                </c:pt>
                <c:pt idx="4">
                  <c:v>154</c:v>
                </c:pt>
                <c:pt idx="5">
                  <c:v>146</c:v>
                </c:pt>
                <c:pt idx="6">
                  <c:v>152</c:v>
                </c:pt>
                <c:pt idx="7">
                  <c:v>141</c:v>
                </c:pt>
                <c:pt idx="8">
                  <c:v>142</c:v>
                </c:pt>
                <c:pt idx="9">
                  <c:v>122</c:v>
                </c:pt>
              </c:numCache>
            </c:numRef>
          </c:yVal>
          <c:smooth val="1"/>
          <c:extLst>
            <c:ext xmlns:c16="http://schemas.microsoft.com/office/drawing/2014/chart" uri="{C3380CC4-5D6E-409C-BE32-E72D297353CC}">
              <c16:uniqueId val="{00000000-A814-5649-9BB8-A16D65F7CB80}"/>
            </c:ext>
          </c:extLst>
        </c:ser>
        <c:dLbls>
          <c:showLegendKey val="0"/>
          <c:showVal val="0"/>
          <c:showCatName val="0"/>
          <c:showSerName val="0"/>
          <c:showPercent val="0"/>
          <c:showBubbleSize val="0"/>
        </c:dLbls>
        <c:axId val="87116432"/>
        <c:axId val="68245307"/>
      </c:scatterChart>
      <c:valAx>
        <c:axId val="87116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Titles Won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5307"/>
        <c:crosses val="autoZero"/>
        <c:crossBetween val="midCat"/>
      </c:valAx>
      <c:valAx>
        <c:axId val="682453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2025 Brand Value ($M)</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64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Distribution of Team-Season Net Run Rate (NRR)</a:t>
            </a:r>
          </a:p>
        </c:rich>
      </c:tx>
      <c:overlay val="0"/>
      <c:spPr>
        <a:noFill/>
        <a:ln w="0">
          <a:noFill/>
        </a:ln>
      </c:spPr>
    </c:title>
    <c:autoTitleDeleted val="0"/>
    <c:plotArea>
      <c:layout/>
      <c:barChart>
        <c:barDir val="col"/>
        <c:grouping val="clustered"/>
        <c:varyColors val="0"/>
        <c:ser>
          <c:idx val="0"/>
          <c:order val="0"/>
          <c:tx>
            <c:strRef>
              <c:f>'3. Probability &amp; Distributions'!$B$34</c:f>
              <c:strCache>
                <c:ptCount val="1"/>
                <c:pt idx="0">
                  <c:v>Frequency</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 Probability &amp; Distributions'!$A$35:$A$44</c:f>
              <c:numCache>
                <c:formatCode>General</c:formatCode>
                <c:ptCount val="10"/>
                <c:pt idx="0">
                  <c:v>-1.1819999999999999</c:v>
                </c:pt>
                <c:pt idx="1">
                  <c:v>-0.92700000000000005</c:v>
                </c:pt>
                <c:pt idx="2">
                  <c:v>-0.67300000000000004</c:v>
                </c:pt>
                <c:pt idx="3">
                  <c:v>-0.41899999999999998</c:v>
                </c:pt>
                <c:pt idx="4">
                  <c:v>-0.16400000000000001</c:v>
                </c:pt>
                <c:pt idx="5">
                  <c:v>0.09</c:v>
                </c:pt>
                <c:pt idx="6">
                  <c:v>0.34399999999999997</c:v>
                </c:pt>
                <c:pt idx="7">
                  <c:v>0.59799999999999998</c:v>
                </c:pt>
                <c:pt idx="8">
                  <c:v>0.85299999999999998</c:v>
                </c:pt>
                <c:pt idx="9">
                  <c:v>1.107</c:v>
                </c:pt>
              </c:numCache>
            </c:numRef>
          </c:cat>
          <c:val>
            <c:numRef>
              <c:f>'3. Probability &amp; Distributions'!$B$35:$B$44</c:f>
              <c:numCache>
                <c:formatCode>General</c:formatCode>
                <c:ptCount val="10"/>
                <c:pt idx="0">
                  <c:v>3</c:v>
                </c:pt>
                <c:pt idx="1">
                  <c:v>2</c:v>
                </c:pt>
                <c:pt idx="2">
                  <c:v>4</c:v>
                </c:pt>
                <c:pt idx="3">
                  <c:v>17</c:v>
                </c:pt>
                <c:pt idx="4">
                  <c:v>20</c:v>
                </c:pt>
                <c:pt idx="5">
                  <c:v>24</c:v>
                </c:pt>
                <c:pt idx="6">
                  <c:v>31</c:v>
                </c:pt>
                <c:pt idx="7">
                  <c:v>13</c:v>
                </c:pt>
                <c:pt idx="8">
                  <c:v>8</c:v>
                </c:pt>
                <c:pt idx="9">
                  <c:v>6</c:v>
                </c:pt>
              </c:numCache>
            </c:numRef>
          </c:val>
          <c:extLst>
            <c:ext xmlns:c16="http://schemas.microsoft.com/office/drawing/2014/chart" uri="{C3380CC4-5D6E-409C-BE32-E72D297353CC}">
              <c16:uniqueId val="{00000000-66BD-9D4A-A374-D92530C31FE6}"/>
            </c:ext>
          </c:extLst>
        </c:ser>
        <c:dLbls>
          <c:showLegendKey val="0"/>
          <c:showVal val="0"/>
          <c:showCatName val="0"/>
          <c:showSerName val="0"/>
          <c:showPercent val="0"/>
          <c:showBubbleSize val="0"/>
        </c:dLbls>
        <c:gapWidth val="150"/>
        <c:axId val="4038325"/>
        <c:axId val="89996073"/>
      </c:barChart>
      <c:catAx>
        <c:axId val="4038325"/>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NRR (bin upper bound)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996073"/>
        <c:crosses val="autoZero"/>
        <c:auto val="1"/>
        <c:lblAlgn val="ctr"/>
        <c:lblOffset val="100"/>
        <c:noMultiLvlLbl val="0"/>
      </c:catAx>
      <c:valAx>
        <c:axId val="8999607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Frequency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3832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Standardized Beta Coefficients — Which Variable Carries the Most Weight?</a:t>
            </a:r>
          </a:p>
        </c:rich>
      </c:tx>
      <c:overlay val="0"/>
      <c:spPr>
        <a:noFill/>
        <a:ln w="0">
          <a:noFill/>
        </a:ln>
      </c:spPr>
    </c:title>
    <c:autoTitleDeleted val="0"/>
    <c:plotArea>
      <c:layout/>
      <c:barChart>
        <c:barDir val="col"/>
        <c:grouping val="clustered"/>
        <c:varyColors val="0"/>
        <c:ser>
          <c:idx val="0"/>
          <c:order val="0"/>
          <c:tx>
            <c:strRef>
              <c:f>'6. Regression Engine'!$B$138</c:f>
              <c:strCache>
                <c:ptCount val="1"/>
                <c:pt idx="0">
                  <c:v>Standardized Beta</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'6. Regression Engine'!$A$139:$A$142</c:f>
              <c:strCache>
                <c:ptCount val="4"/>
                <c:pt idx="0">
                  <c:v>City GDP</c:v>
                </c:pt>
                <c:pt idx="1">
                  <c:v>Win %</c:v>
                </c:pt>
                <c:pt idx="2">
                  <c:v>Titles</c:v>
                </c:pt>
                <c:pt idx="3">
                  <c:v>Social Followers</c:v>
                </c:pt>
              </c:strCache>
            </c:strRef>
          </c:cat>
          <c:val>
            <c:numRef>
              <c:f>'6. Regression Engine'!$B$139:$B$142</c:f>
              <c:numCache>
                <c:formatCode>0.0000</c:formatCode>
                <c:ptCount val="4"/>
                <c:pt idx="0">
                  <c:v>0.10621769201047511</c:v>
                </c:pt>
                <c:pt idx="1">
                  <c:v>-0.13320192868083339</c:v>
                </c:pt>
                <c:pt idx="2">
                  <c:v>0.23230469048627914</c:v>
                </c:pt>
                <c:pt idx="3">
                  <c:v>0.66125799839472388</c:v>
                </c:pt>
              </c:numCache>
            </c:numRef>
          </c:val>
          <c:extLst>
            <c:ext xmlns:c16="http://schemas.microsoft.com/office/drawing/2014/chart" uri="{C3380CC4-5D6E-409C-BE32-E72D297353CC}">
              <c16:uniqueId val="{00000000-6C86-6D46-8396-0AC7983121B5}"/>
            </c:ext>
          </c:extLst>
        </c:ser>
        <c:dLbls>
          <c:showLegendKey val="0"/>
          <c:showVal val="0"/>
          <c:showCatName val="0"/>
          <c:showSerName val="0"/>
          <c:showPercent val="0"/>
          <c:showBubbleSize val="0"/>
        </c:dLbls>
        <c:gapWidth val="150"/>
        <c:axId val="51457372"/>
        <c:axId val="39682140"/>
      </c:barChart>
      <c:catAx>
        <c:axId val="5145737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9682140"/>
        <c:crosses val="autoZero"/>
        <c:auto val="1"/>
        <c:lblAlgn val="ctr"/>
        <c:lblOffset val="100"/>
        <c:noMultiLvlLbl val="0"/>
      </c:catAx>
      <c:valAx>
        <c:axId val="3968214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Standardized Beta</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45737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330200</xdr:colOff>
      <xdr:row>20</xdr:row>
      <xdr:rowOff>15800</xdr:rowOff>
    </xdr:from>
    <xdr:to>
      <xdr:col>11</xdr:col>
      <xdr:colOff>1064240</xdr:colOff>
      <xdr:row>37</xdr:row>
      <xdr:rowOff>17240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31</xdr:row>
      <xdr:rowOff>179640</xdr:rowOff>
    </xdr:from>
    <xdr:to>
      <xdr:col>11</xdr:col>
      <xdr:colOff>461520</xdr:colOff>
      <xdr:row>48</xdr:row>
      <xdr:rowOff>180720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50800</xdr:colOff>
      <xdr:row>136</xdr:row>
      <xdr:rowOff>187020</xdr:rowOff>
    </xdr:from>
    <xdr:to>
      <xdr:col>6</xdr:col>
      <xdr:colOff>611560</xdr:colOff>
      <xdr:row>153</xdr:row>
      <xdr:rowOff>188100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6"/>
  <sheetViews>
    <sheetView zoomScale="83" zoomScaleNormal="100" workbookViewId="0">
      <selection activeCell="B4" sqref="B4:B14"/>
    </sheetView>
  </sheetViews>
  <sheetFormatPr baseColWidth="10" defaultColWidth="8.6640625" defaultRowHeight="15" x14ac:dyDescent="0.2"/>
  <cols>
    <col min="1" max="1" width="30" customWidth="1"/>
    <col min="2" max="3" width="14" customWidth="1"/>
    <col min="4" max="4" width="8" customWidth="1"/>
    <col min="5" max="5" width="12" customWidth="1"/>
    <col min="6" max="6" width="10" customWidth="1"/>
    <col min="7" max="8" width="14" customWidth="1"/>
    <col min="9" max="10" width="10" customWidth="1"/>
    <col min="11" max="11" width="12" customWidth="1"/>
    <col min="12" max="12" width="16" customWidth="1"/>
    <col min="13" max="13" width="14" customWidth="1"/>
    <col min="14" max="14" width="12" customWidth="1"/>
    <col min="15" max="15" width="14" customWidth="1"/>
    <col min="16" max="16" width="16" customWidth="1"/>
    <col min="17" max="17" width="10" customWidth="1"/>
    <col min="18" max="18" width="12" customWidth="1"/>
    <col min="19" max="19" width="14" customWidth="1"/>
  </cols>
  <sheetData>
    <row r="1" spans="1:19" ht="20" x14ac:dyDescent="0.2">
      <c r="A1" s="1" t="s">
        <v>0</v>
      </c>
    </row>
    <row r="2" spans="1:19" x14ac:dyDescent="0.2">
      <c r="A2" s="2"/>
    </row>
    <row r="4" spans="1:19" ht="42" x14ac:dyDescent="0.2">
      <c r="A4" s="3" t="s">
        <v>1</v>
      </c>
      <c r="B4" s="3" t="s">
        <v>2</v>
      </c>
      <c r="C4" s="3" t="s">
        <v>3</v>
      </c>
      <c r="D4" s="3" t="s">
        <v>4</v>
      </c>
      <c r="E4" s="3" t="s">
        <v>5</v>
      </c>
      <c r="F4" s="3" t="s">
        <v>6</v>
      </c>
      <c r="G4" s="3" t="s">
        <v>7</v>
      </c>
      <c r="H4" s="3" t="s">
        <v>8</v>
      </c>
      <c r="I4" s="3" t="s">
        <v>9</v>
      </c>
      <c r="J4" s="3" t="s">
        <v>10</v>
      </c>
      <c r="K4" s="3" t="s">
        <v>11</v>
      </c>
      <c r="L4" s="3" t="s">
        <v>12</v>
      </c>
      <c r="M4" s="3" t="s">
        <v>13</v>
      </c>
      <c r="N4" s="3" t="s">
        <v>14</v>
      </c>
      <c r="O4" s="3" t="s">
        <v>15</v>
      </c>
      <c r="P4" s="3" t="s">
        <v>16</v>
      </c>
      <c r="Q4" s="3" t="s">
        <v>17</v>
      </c>
      <c r="R4" s="3" t="s">
        <v>18</v>
      </c>
      <c r="S4" s="3" t="s">
        <v>19</v>
      </c>
    </row>
    <row r="5" spans="1:19" x14ac:dyDescent="0.2">
      <c r="A5" s="4" t="s">
        <v>20</v>
      </c>
      <c r="B5" s="5">
        <v>235</v>
      </c>
      <c r="C5" s="5">
        <v>244</v>
      </c>
      <c r="D5" s="5">
        <v>5</v>
      </c>
      <c r="E5" s="5">
        <v>12</v>
      </c>
      <c r="F5" s="5">
        <v>10</v>
      </c>
      <c r="G5" s="6">
        <v>57</v>
      </c>
      <c r="H5" s="5">
        <v>200</v>
      </c>
      <c r="I5" s="5">
        <v>114</v>
      </c>
      <c r="J5" s="5">
        <v>83</v>
      </c>
      <c r="K5" s="6">
        <v>91.53</v>
      </c>
      <c r="L5" s="7">
        <v>4646732</v>
      </c>
      <c r="M5" s="8">
        <v>23.4</v>
      </c>
      <c r="N5" s="8">
        <v>10.9</v>
      </c>
      <c r="O5" s="9">
        <f t="shared" ref="O5:O14" si="0">M5+N5</f>
        <v>34.299999999999997</v>
      </c>
      <c r="P5" s="6">
        <v>119.95</v>
      </c>
      <c r="Q5" s="5">
        <v>2008</v>
      </c>
      <c r="R5" s="4" t="str">
        <f t="shared" ref="R5:R14" si="1">IF(Q5&gt;=2022,"Expansion","Legacy")</f>
        <v>Legacy</v>
      </c>
      <c r="S5" s="4" t="str">
        <f t="shared" ref="S5:S14" si="2">IF(D5=0,"Zero titles",IF(D5=1,"Single title","Multiple titles"))</f>
        <v>Multiple titles</v>
      </c>
    </row>
    <row r="6" spans="1:19" x14ac:dyDescent="0.2">
      <c r="A6" s="4" t="s">
        <v>21</v>
      </c>
      <c r="B6" s="5">
        <v>242</v>
      </c>
      <c r="C6" s="5">
        <v>264</v>
      </c>
      <c r="D6" s="5">
        <v>5</v>
      </c>
      <c r="E6" s="5">
        <v>11</v>
      </c>
      <c r="F6" s="5">
        <v>6</v>
      </c>
      <c r="G6" s="6">
        <v>55.7</v>
      </c>
      <c r="H6" s="5">
        <v>228</v>
      </c>
      <c r="I6" s="5">
        <v>127</v>
      </c>
      <c r="J6" s="5">
        <v>100</v>
      </c>
      <c r="K6" s="6">
        <v>162.44</v>
      </c>
      <c r="L6" s="7">
        <v>12442373</v>
      </c>
      <c r="M6" s="8">
        <v>19.899999999999999</v>
      </c>
      <c r="N6" s="8">
        <v>8.3000000000000007</v>
      </c>
      <c r="O6" s="9">
        <f t="shared" si="0"/>
        <v>28.2</v>
      </c>
      <c r="P6" s="6">
        <v>119.8</v>
      </c>
      <c r="Q6" s="5">
        <v>2008</v>
      </c>
      <c r="R6" s="4" t="str">
        <f t="shared" si="1"/>
        <v>Legacy</v>
      </c>
      <c r="S6" s="4" t="str">
        <f t="shared" si="2"/>
        <v>Multiple titles</v>
      </c>
    </row>
    <row r="7" spans="1:19" x14ac:dyDescent="0.2">
      <c r="A7" s="4" t="s">
        <v>22</v>
      </c>
      <c r="B7" s="5">
        <v>269</v>
      </c>
      <c r="C7" s="5">
        <v>312</v>
      </c>
      <c r="D7" s="5">
        <v>2</v>
      </c>
      <c r="E7" s="5">
        <v>11</v>
      </c>
      <c r="F7" s="5">
        <v>5</v>
      </c>
      <c r="G7" s="6">
        <v>48.25</v>
      </c>
      <c r="H7" s="5">
        <v>228</v>
      </c>
      <c r="I7" s="5">
        <v>110</v>
      </c>
      <c r="J7" s="5">
        <v>112</v>
      </c>
      <c r="K7" s="6">
        <v>112.42</v>
      </c>
      <c r="L7" s="7">
        <v>8443675</v>
      </c>
      <c r="M7" s="8">
        <v>24.4</v>
      </c>
      <c r="N7" s="8">
        <v>7.4</v>
      </c>
      <c r="O7" s="9">
        <f t="shared" si="0"/>
        <v>31.799999999999997</v>
      </c>
      <c r="P7" s="6">
        <v>119.7</v>
      </c>
      <c r="Q7" s="5">
        <v>2008</v>
      </c>
      <c r="R7" s="4" t="str">
        <f t="shared" si="1"/>
        <v>Legacy</v>
      </c>
      <c r="S7" s="4" t="str">
        <f t="shared" si="2"/>
        <v>Multiple titles</v>
      </c>
    </row>
    <row r="8" spans="1:19" x14ac:dyDescent="0.2">
      <c r="A8" s="4" t="s">
        <v>23</v>
      </c>
      <c r="B8" s="5">
        <v>227</v>
      </c>
      <c r="C8" s="5">
        <v>245</v>
      </c>
      <c r="D8" s="5">
        <v>3</v>
      </c>
      <c r="E8" s="5">
        <v>8</v>
      </c>
      <c r="F8" s="5">
        <v>4</v>
      </c>
      <c r="G8" s="6">
        <v>49.12</v>
      </c>
      <c r="H8" s="5">
        <v>228</v>
      </c>
      <c r="I8" s="5">
        <v>112</v>
      </c>
      <c r="J8" s="5">
        <v>112</v>
      </c>
      <c r="K8" s="6">
        <v>75.209999999999994</v>
      </c>
      <c r="L8" s="7">
        <v>4496694</v>
      </c>
      <c r="M8" s="8">
        <v>7.9</v>
      </c>
      <c r="N8" s="8">
        <v>5.3</v>
      </c>
      <c r="O8" s="9">
        <f t="shared" si="0"/>
        <v>13.2</v>
      </c>
      <c r="P8" s="6">
        <v>119.95</v>
      </c>
      <c r="Q8" s="5">
        <v>2008</v>
      </c>
      <c r="R8" s="4" t="str">
        <f t="shared" si="1"/>
        <v>Legacy</v>
      </c>
      <c r="S8" s="4" t="str">
        <f t="shared" si="2"/>
        <v>Multiple titles</v>
      </c>
    </row>
    <row r="9" spans="1:19" x14ac:dyDescent="0.2">
      <c r="A9" s="4" t="s">
        <v>24</v>
      </c>
      <c r="B9" s="5">
        <v>154</v>
      </c>
      <c r="C9" s="5">
        <v>168</v>
      </c>
      <c r="D9" s="5">
        <v>1</v>
      </c>
      <c r="E9" s="5">
        <v>8</v>
      </c>
      <c r="F9" s="5">
        <v>3</v>
      </c>
      <c r="G9" s="6">
        <v>47.44</v>
      </c>
      <c r="H9" s="5">
        <v>156</v>
      </c>
      <c r="I9" s="5">
        <v>74</v>
      </c>
      <c r="J9" s="5">
        <v>81</v>
      </c>
      <c r="K9" s="6">
        <v>80.06</v>
      </c>
      <c r="L9" s="7">
        <v>6731790</v>
      </c>
      <c r="M9" s="8">
        <v>5.8</v>
      </c>
      <c r="N9" s="8">
        <v>3.3</v>
      </c>
      <c r="O9" s="9">
        <f t="shared" si="0"/>
        <v>9.1</v>
      </c>
      <c r="P9" s="6">
        <v>119.85</v>
      </c>
      <c r="Q9" s="33">
        <v>2013</v>
      </c>
      <c r="R9" s="4" t="str">
        <f t="shared" si="1"/>
        <v>Legacy</v>
      </c>
      <c r="S9" s="4" t="str">
        <f t="shared" si="2"/>
        <v>Single title</v>
      </c>
    </row>
    <row r="10" spans="1:19" x14ac:dyDescent="0.2">
      <c r="A10" s="4" t="s">
        <v>25</v>
      </c>
      <c r="B10" s="5">
        <v>146</v>
      </c>
      <c r="C10" s="5">
        <v>161</v>
      </c>
      <c r="D10" s="5">
        <v>1</v>
      </c>
      <c r="E10" s="5">
        <v>7</v>
      </c>
      <c r="F10" s="5">
        <v>2</v>
      </c>
      <c r="G10" s="6">
        <v>49.5</v>
      </c>
      <c r="H10" s="5">
        <v>200</v>
      </c>
      <c r="I10" s="5">
        <v>99</v>
      </c>
      <c r="J10" s="5">
        <v>96</v>
      </c>
      <c r="K10" s="6">
        <v>18.13</v>
      </c>
      <c r="L10" s="7">
        <v>3073350</v>
      </c>
      <c r="M10" s="8">
        <v>6.5</v>
      </c>
      <c r="N10" s="8">
        <v>2.9</v>
      </c>
      <c r="O10" s="9">
        <f t="shared" si="0"/>
        <v>9.4</v>
      </c>
      <c r="P10" s="6">
        <v>119.9</v>
      </c>
      <c r="Q10" s="5">
        <v>2008</v>
      </c>
      <c r="R10" s="4" t="str">
        <f t="shared" si="1"/>
        <v>Legacy</v>
      </c>
      <c r="S10" s="4" t="str">
        <f t="shared" si="2"/>
        <v>Single title</v>
      </c>
    </row>
    <row r="11" spans="1:19" x14ac:dyDescent="0.2">
      <c r="A11" s="4" t="s">
        <v>26</v>
      </c>
      <c r="B11" s="5">
        <v>152</v>
      </c>
      <c r="C11" s="5">
        <v>156</v>
      </c>
      <c r="D11" s="5">
        <v>0</v>
      </c>
      <c r="E11" s="5">
        <v>6</v>
      </c>
      <c r="F11" s="5">
        <v>1</v>
      </c>
      <c r="G11" s="6">
        <v>46.49</v>
      </c>
      <c r="H11" s="5">
        <v>228</v>
      </c>
      <c r="I11" s="5">
        <v>106</v>
      </c>
      <c r="J11" s="5">
        <v>119</v>
      </c>
      <c r="K11" s="6">
        <v>186.14</v>
      </c>
      <c r="L11" s="7">
        <v>16314838</v>
      </c>
      <c r="M11" s="8">
        <v>4.7</v>
      </c>
      <c r="N11" s="8">
        <v>2.6</v>
      </c>
      <c r="O11" s="9">
        <f t="shared" si="0"/>
        <v>7.3000000000000007</v>
      </c>
      <c r="P11" s="6">
        <v>119.8</v>
      </c>
      <c r="Q11" s="5">
        <v>2008</v>
      </c>
      <c r="R11" s="4" t="str">
        <f t="shared" si="1"/>
        <v>Legacy</v>
      </c>
      <c r="S11" s="4" t="str">
        <f t="shared" si="2"/>
        <v>Zero titles</v>
      </c>
    </row>
    <row r="12" spans="1:19" x14ac:dyDescent="0.2">
      <c r="A12" s="4" t="s">
        <v>27</v>
      </c>
      <c r="B12" s="5">
        <v>141</v>
      </c>
      <c r="C12" s="5">
        <v>158</v>
      </c>
      <c r="D12" s="5">
        <v>0</v>
      </c>
      <c r="E12" s="5">
        <v>3</v>
      </c>
      <c r="F12" s="5">
        <v>2</v>
      </c>
      <c r="G12" s="6">
        <v>46.49</v>
      </c>
      <c r="H12" s="5">
        <v>228</v>
      </c>
      <c r="I12" s="5">
        <v>106</v>
      </c>
      <c r="J12" s="5">
        <v>122</v>
      </c>
      <c r="K12" s="6">
        <v>11.7</v>
      </c>
      <c r="L12" s="7">
        <v>1025682</v>
      </c>
      <c r="M12" s="8">
        <v>5.3</v>
      </c>
      <c r="N12" s="8">
        <v>3</v>
      </c>
      <c r="O12" s="9">
        <f t="shared" si="0"/>
        <v>8.3000000000000007</v>
      </c>
      <c r="P12" s="6">
        <v>119.5</v>
      </c>
      <c r="Q12" s="5">
        <v>2008</v>
      </c>
      <c r="R12" s="4" t="str">
        <f t="shared" si="1"/>
        <v>Legacy</v>
      </c>
      <c r="S12" s="4" t="str">
        <f t="shared" si="2"/>
        <v>Zero titles</v>
      </c>
    </row>
    <row r="13" spans="1:19" x14ac:dyDescent="0.2">
      <c r="A13" s="4" t="s">
        <v>28</v>
      </c>
      <c r="B13" s="5">
        <v>142</v>
      </c>
      <c r="C13" s="5">
        <v>157</v>
      </c>
      <c r="D13" s="5">
        <v>1</v>
      </c>
      <c r="E13" s="5">
        <v>4</v>
      </c>
      <c r="F13" s="5">
        <v>3</v>
      </c>
      <c r="G13" s="6">
        <v>71.430000000000007</v>
      </c>
      <c r="H13" s="5">
        <v>28</v>
      </c>
      <c r="I13" s="5">
        <v>20</v>
      </c>
      <c r="J13" s="5">
        <v>8</v>
      </c>
      <c r="K13" s="6">
        <v>67.28</v>
      </c>
      <c r="L13" s="7">
        <v>5577940</v>
      </c>
      <c r="M13" s="8">
        <v>5.0999999999999996</v>
      </c>
      <c r="N13" s="8">
        <v>0.621</v>
      </c>
      <c r="O13" s="9">
        <f t="shared" si="0"/>
        <v>5.7210000000000001</v>
      </c>
      <c r="P13" s="6">
        <v>119.85</v>
      </c>
      <c r="Q13" s="33">
        <v>2022</v>
      </c>
      <c r="R13" s="4" t="str">
        <f t="shared" si="1"/>
        <v>Expansion</v>
      </c>
      <c r="S13" s="4" t="str">
        <f t="shared" si="2"/>
        <v>Single title</v>
      </c>
    </row>
    <row r="14" spans="1:19" x14ac:dyDescent="0.2">
      <c r="A14" s="4" t="s">
        <v>29</v>
      </c>
      <c r="B14" s="5">
        <v>122</v>
      </c>
      <c r="C14" s="5">
        <v>122</v>
      </c>
      <c r="D14" s="5">
        <v>0</v>
      </c>
      <c r="E14" s="5">
        <v>2</v>
      </c>
      <c r="F14" s="5">
        <v>0</v>
      </c>
      <c r="G14" s="6">
        <v>60.71</v>
      </c>
      <c r="H14" s="5">
        <v>28</v>
      </c>
      <c r="I14" s="5">
        <v>17</v>
      </c>
      <c r="J14" s="5">
        <v>10</v>
      </c>
      <c r="K14" s="6">
        <v>10.92</v>
      </c>
      <c r="L14" s="7">
        <v>2901474</v>
      </c>
      <c r="M14" s="8">
        <v>3.6</v>
      </c>
      <c r="N14" s="8">
        <v>0.81599999999999995</v>
      </c>
      <c r="O14" s="9">
        <f t="shared" si="0"/>
        <v>4.4160000000000004</v>
      </c>
      <c r="P14" s="6">
        <v>119.9</v>
      </c>
      <c r="Q14" s="33">
        <v>2022</v>
      </c>
      <c r="R14" s="4" t="str">
        <f t="shared" si="1"/>
        <v>Expansion</v>
      </c>
      <c r="S14" s="4" t="str">
        <f t="shared" si="2"/>
        <v>Zero titles</v>
      </c>
    </row>
    <row r="16" spans="1:19" x14ac:dyDescent="0.2">
      <c r="A16" s="10"/>
    </row>
    <row r="17" spans="1:1" x14ac:dyDescent="0.2">
      <c r="A17" s="10" t="s">
        <v>30</v>
      </c>
    </row>
    <row r="18" spans="1:1" x14ac:dyDescent="0.2">
      <c r="A18" s="10" t="s">
        <v>31</v>
      </c>
    </row>
    <row r="19" spans="1:1" x14ac:dyDescent="0.2">
      <c r="A19" s="10" t="s">
        <v>32</v>
      </c>
    </row>
    <row r="38" spans="1:8" ht="17" x14ac:dyDescent="0.2">
      <c r="A38" s="11" t="s">
        <v>33</v>
      </c>
    </row>
    <row r="39" spans="1:8" ht="30" customHeight="1" x14ac:dyDescent="0.2">
      <c r="A39" s="42" t="s">
        <v>34</v>
      </c>
      <c r="B39" s="42"/>
      <c r="C39" s="42"/>
      <c r="D39" s="42"/>
      <c r="E39" s="42"/>
      <c r="F39" s="42"/>
      <c r="G39" s="42"/>
      <c r="H39" s="42"/>
    </row>
    <row r="40" spans="1:8" ht="30" customHeight="1" x14ac:dyDescent="0.2">
      <c r="A40" s="42" t="s">
        <v>35</v>
      </c>
      <c r="B40" s="42"/>
      <c r="C40" s="42"/>
      <c r="D40" s="42"/>
      <c r="E40" s="42"/>
      <c r="F40" s="42"/>
      <c r="G40" s="42"/>
      <c r="H40" s="42"/>
    </row>
    <row r="41" spans="1:8" ht="30" customHeight="1" x14ac:dyDescent="0.2">
      <c r="A41" s="42" t="s">
        <v>36</v>
      </c>
      <c r="B41" s="42"/>
      <c r="C41" s="42"/>
      <c r="D41" s="42"/>
      <c r="E41" s="42"/>
      <c r="F41" s="42"/>
      <c r="G41" s="42"/>
      <c r="H41" s="42"/>
    </row>
    <row r="42" spans="1:8" ht="30" customHeight="1" x14ac:dyDescent="0.2">
      <c r="A42" s="42" t="s">
        <v>37</v>
      </c>
      <c r="B42" s="42"/>
      <c r="C42" s="42"/>
      <c r="D42" s="42"/>
      <c r="E42" s="42"/>
      <c r="F42" s="42"/>
      <c r="G42" s="42"/>
      <c r="H42" s="42"/>
    </row>
    <row r="43" spans="1:8" ht="30" customHeight="1" x14ac:dyDescent="0.2">
      <c r="A43" s="42" t="s">
        <v>38</v>
      </c>
      <c r="B43" s="42"/>
      <c r="C43" s="42"/>
      <c r="D43" s="42"/>
      <c r="E43" s="42"/>
      <c r="F43" s="42"/>
      <c r="G43" s="42"/>
      <c r="H43" s="42"/>
    </row>
    <row r="44" spans="1:8" ht="30" customHeight="1" x14ac:dyDescent="0.2">
      <c r="A44" s="42" t="s">
        <v>39</v>
      </c>
      <c r="B44" s="42"/>
      <c r="C44" s="42"/>
      <c r="D44" s="42"/>
      <c r="E44" s="42"/>
      <c r="F44" s="42"/>
      <c r="G44" s="42"/>
      <c r="H44" s="42"/>
    </row>
    <row r="45" spans="1:8" ht="30" customHeight="1" x14ac:dyDescent="0.2">
      <c r="A45" s="42" t="s">
        <v>40</v>
      </c>
      <c r="B45" s="42"/>
      <c r="C45" s="42"/>
      <c r="D45" s="42"/>
      <c r="E45" s="42"/>
      <c r="F45" s="42"/>
      <c r="G45" s="42"/>
      <c r="H45" s="42"/>
    </row>
    <row r="46" spans="1:8" ht="30" customHeight="1" x14ac:dyDescent="0.2">
      <c r="A46" s="42" t="s">
        <v>41</v>
      </c>
      <c r="B46" s="42"/>
      <c r="C46" s="42"/>
      <c r="D46" s="42"/>
      <c r="E46" s="42"/>
      <c r="F46" s="42"/>
      <c r="G46" s="42"/>
      <c r="H46" s="42"/>
    </row>
  </sheetData>
  <mergeCells count="8">
    <mergeCell ref="A44:H44"/>
    <mergeCell ref="A45:H45"/>
    <mergeCell ref="A46:H46"/>
    <mergeCell ref="A39:H39"/>
    <mergeCell ref="A40:H40"/>
    <mergeCell ref="A41:H41"/>
    <mergeCell ref="A42:H42"/>
    <mergeCell ref="A43:H43"/>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8"/>
  <sheetViews>
    <sheetView topLeftCell="A30" zoomScaleNormal="100" workbookViewId="0">
      <selection activeCell="K19" sqref="K19"/>
    </sheetView>
  </sheetViews>
  <sheetFormatPr baseColWidth="10" defaultColWidth="8.6640625" defaultRowHeight="15" x14ac:dyDescent="0.2"/>
  <cols>
    <col min="1" max="1" width="40" customWidth="1"/>
    <col min="2" max="2" width="16" customWidth="1"/>
    <col min="3" max="8" width="14" customWidth="1"/>
  </cols>
  <sheetData>
    <row r="1" spans="1:2" ht="20" x14ac:dyDescent="0.2">
      <c r="A1" s="1" t="s">
        <v>42</v>
      </c>
    </row>
    <row r="2" spans="1:2" x14ac:dyDescent="0.2">
      <c r="A2" s="2"/>
    </row>
    <row r="4" spans="1:2" ht="17" x14ac:dyDescent="0.2">
      <c r="A4" s="11" t="s">
        <v>43</v>
      </c>
    </row>
    <row r="5" spans="1:2" x14ac:dyDescent="0.2">
      <c r="A5" s="12" t="s">
        <v>44</v>
      </c>
      <c r="B5" s="13">
        <f>AVERAGE('Data Dashboard'!$B$5:$B$14)</f>
        <v>183</v>
      </c>
    </row>
    <row r="6" spans="1:2" x14ac:dyDescent="0.2">
      <c r="A6" s="12" t="s">
        <v>45</v>
      </c>
      <c r="B6" s="13">
        <f>MEDIAN('Data Dashboard'!$B$5:$B$14)</f>
        <v>153</v>
      </c>
    </row>
    <row r="7" spans="1:2" x14ac:dyDescent="0.2">
      <c r="A7" s="12" t="s">
        <v>46</v>
      </c>
      <c r="B7" s="13">
        <f>_xlfn.STDEV.S('Data Dashboard'!$B$5:$B$14)</f>
        <v>53.597263611742967</v>
      </c>
    </row>
    <row r="8" spans="1:2" x14ac:dyDescent="0.2">
      <c r="A8" s="12" t="s">
        <v>47</v>
      </c>
      <c r="B8" s="13">
        <f>_xlfn.VAR.S('Data Dashboard'!$B$5:$B$14)</f>
        <v>2872.6666666666665</v>
      </c>
    </row>
    <row r="9" spans="1:2" x14ac:dyDescent="0.2">
      <c r="A9" s="12" t="s">
        <v>48</v>
      </c>
      <c r="B9" s="14">
        <f>MIN('Data Dashboard'!$B$5:$B$14)</f>
        <v>122</v>
      </c>
    </row>
    <row r="10" spans="1:2" x14ac:dyDescent="0.2">
      <c r="A10" s="12" t="s">
        <v>49</v>
      </c>
      <c r="B10" s="14">
        <f>MAX('Data Dashboard'!$B$5:$B$14)</f>
        <v>269</v>
      </c>
    </row>
    <row r="11" spans="1:2" x14ac:dyDescent="0.2">
      <c r="A11" s="12" t="s">
        <v>50</v>
      </c>
      <c r="B11" s="14">
        <f>COUNT('Data Dashboard'!$B$5:$B$14)</f>
        <v>10</v>
      </c>
    </row>
    <row r="13" spans="1:2" ht="17" x14ac:dyDescent="0.2">
      <c r="A13" s="11" t="s">
        <v>51</v>
      </c>
    </row>
    <row r="14" spans="1:2" x14ac:dyDescent="0.2">
      <c r="A14" s="12" t="s">
        <v>52</v>
      </c>
      <c r="B14" s="15">
        <f>CORREL('Data Dashboard'!$P$5:$P$14,'Data Dashboard'!$G$5:$G$14)</f>
        <v>0.35116704827037903</v>
      </c>
    </row>
    <row r="15" spans="1:2" x14ac:dyDescent="0.2">
      <c r="A15" s="12" t="s">
        <v>53</v>
      </c>
      <c r="B15" s="12">
        <f>COUNT('Data Dashboard'!$P$5:$P$14)</f>
        <v>10</v>
      </c>
    </row>
    <row r="16" spans="1:2" x14ac:dyDescent="0.2">
      <c r="A16" s="12" t="s">
        <v>54</v>
      </c>
      <c r="B16" s="16">
        <f>B14*SQRT(B15-2)/SQRT(1-B14^2)</f>
        <v>1.0608104249843184</v>
      </c>
    </row>
    <row r="17" spans="1:8" x14ac:dyDescent="0.2">
      <c r="A17" s="12" t="s">
        <v>55</v>
      </c>
      <c r="B17" s="15">
        <f>_xlfn.T.DIST.2T(ABS(B16),B15-2)</f>
        <v>0.31974907980248923</v>
      </c>
    </row>
    <row r="19" spans="1:8" ht="54.75" customHeight="1" x14ac:dyDescent="0.2">
      <c r="A19" s="44" t="s">
        <v>237</v>
      </c>
      <c r="B19" s="43"/>
      <c r="C19" s="43"/>
      <c r="D19" s="43"/>
      <c r="E19" s="43"/>
      <c r="F19" s="43"/>
      <c r="G19" s="43"/>
      <c r="H19" s="43"/>
    </row>
    <row r="21" spans="1:8" ht="17" x14ac:dyDescent="0.2">
      <c r="A21" s="11" t="s">
        <v>56</v>
      </c>
    </row>
    <row r="22" spans="1:8" ht="28" x14ac:dyDescent="0.2">
      <c r="A22" s="17"/>
      <c r="B22" s="3" t="s">
        <v>57</v>
      </c>
      <c r="C22" s="3" t="s">
        <v>4</v>
      </c>
      <c r="D22" s="3" t="s">
        <v>58</v>
      </c>
      <c r="E22" s="3" t="s">
        <v>59</v>
      </c>
      <c r="F22" s="3" t="s">
        <v>60</v>
      </c>
      <c r="G22" s="3" t="s">
        <v>61</v>
      </c>
      <c r="H22" s="3" t="s">
        <v>62</v>
      </c>
    </row>
    <row r="23" spans="1:8" x14ac:dyDescent="0.2">
      <c r="A23" s="18" t="s">
        <v>57</v>
      </c>
      <c r="B23" s="19">
        <f>CORREL('Data Dashboard'!$B$5:$B$14,'Data Dashboard'!$B$5:$B$14)</f>
        <v>1</v>
      </c>
      <c r="C23" s="19">
        <f>CORREL('Data Dashboard'!$B$5:$B$14,'Data Dashboard'!$D$5:$D$14)</f>
        <v>0.80683425741122294</v>
      </c>
      <c r="D23" s="19">
        <f>CORREL('Data Dashboard'!$B$5:$B$14,'Data Dashboard'!$G$5:$G$14)</f>
        <v>-0.1723993168653872</v>
      </c>
      <c r="E23" s="19">
        <f>CORREL('Data Dashboard'!$B$5:$B$14,'Data Dashboard'!$K$5:$K$14)</f>
        <v>0.50379966124640507</v>
      </c>
      <c r="F23" s="19">
        <f>CORREL('Data Dashboard'!$B$5:$B$14,'Data Dashboard'!$O$5:$O$14)</f>
        <v>0.91053320580483044</v>
      </c>
      <c r="G23" s="19">
        <f>CORREL('Data Dashboard'!$B$5:$B$14,'Data Dashboard'!$P$5:$P$14)</f>
        <v>7.7848860465209641E-2</v>
      </c>
      <c r="H23" s="19">
        <f>CORREL('Data Dashboard'!$B$5:$B$14,'Data Dashboard'!$L$5:$L$14)</f>
        <v>0.28094802366491223</v>
      </c>
    </row>
    <row r="24" spans="1:8" x14ac:dyDescent="0.2">
      <c r="A24" s="18" t="s">
        <v>4</v>
      </c>
      <c r="B24" s="19">
        <f>CORREL('Data Dashboard'!$D$5:$D$14,'Data Dashboard'!$B$5:$B$14)</f>
        <v>0.80683425741122294</v>
      </c>
      <c r="C24" s="19">
        <f>CORREL('Data Dashboard'!$D$5:$D$14,'Data Dashboard'!$D$5:$D$14)</f>
        <v>1</v>
      </c>
      <c r="D24" s="19">
        <f>CORREL('Data Dashboard'!$D$5:$D$14,'Data Dashboard'!$G$5:$G$14)</f>
        <v>0.12737598864503508</v>
      </c>
      <c r="E24" s="19">
        <f>CORREL('Data Dashboard'!$D$5:$D$14,'Data Dashboard'!$K$5:$K$14)</f>
        <v>0.39828708180821554</v>
      </c>
      <c r="F24" s="19">
        <f>CORREL('Data Dashboard'!$D$5:$D$14,'Data Dashboard'!$O$5:$O$14)</f>
        <v>0.83052478915348604</v>
      </c>
      <c r="G24" s="19">
        <f>CORREL('Data Dashboard'!$D$5:$D$14,'Data Dashboard'!$P$5:$P$14)</f>
        <v>0.3556768534729029</v>
      </c>
      <c r="H24" s="19">
        <f>CORREL('Data Dashboard'!$D$5:$D$14,'Data Dashboard'!$L$5:$L$14)</f>
        <v>0.15956741883848397</v>
      </c>
    </row>
    <row r="25" spans="1:8" x14ac:dyDescent="0.2">
      <c r="A25" s="18" t="s">
        <v>58</v>
      </c>
      <c r="B25" s="19">
        <f>CORREL('Data Dashboard'!$G$5:$G$14,'Data Dashboard'!$B$5:$B$14)</f>
        <v>-0.1723993168653872</v>
      </c>
      <c r="C25" s="19">
        <f>CORREL('Data Dashboard'!$G$5:$G$14,'Data Dashboard'!$D$5:$D$14)</f>
        <v>0.12737598864503508</v>
      </c>
      <c r="D25" s="19">
        <f>CORREL('Data Dashboard'!$G$5:$G$14,'Data Dashboard'!$G$5:$G$14)</f>
        <v>1.0000000000000002</v>
      </c>
      <c r="E25" s="19">
        <f>CORREL('Data Dashboard'!$G$5:$G$14,'Data Dashboard'!$K$5:$K$14)</f>
        <v>-0.15230108155824257</v>
      </c>
      <c r="F25" s="19">
        <f>CORREL('Data Dashboard'!$G$5:$G$14,'Data Dashboard'!$O$5:$O$14)</f>
        <v>-7.956101635976312E-2</v>
      </c>
      <c r="G25" s="19">
        <f>CORREL('Data Dashboard'!$G$5:$G$14,'Data Dashboard'!$P$5:$P$14)</f>
        <v>0.35116704827037903</v>
      </c>
      <c r="H25" s="19">
        <f>CORREL('Data Dashboard'!$G$5:$G$14,'Data Dashboard'!$L$5:$L$14)</f>
        <v>-0.16185975305336603</v>
      </c>
    </row>
    <row r="26" spans="1:8" x14ac:dyDescent="0.2">
      <c r="A26" s="18" t="s">
        <v>59</v>
      </c>
      <c r="B26" s="19">
        <f>CORREL('Data Dashboard'!$K$5:$K$14,'Data Dashboard'!$B$5:$B$14)</f>
        <v>0.50379966124640507</v>
      </c>
      <c r="C26" s="19">
        <f>CORREL('Data Dashboard'!$K$5:$K$14,'Data Dashboard'!$D$5:$D$14)</f>
        <v>0.39828708180821554</v>
      </c>
      <c r="D26" s="19">
        <f>CORREL('Data Dashboard'!$K$5:$K$14,'Data Dashboard'!$G$5:$G$14)</f>
        <v>-0.15230108155824257</v>
      </c>
      <c r="E26" s="19">
        <f>CORREL('Data Dashboard'!$K$5:$K$14,'Data Dashboard'!$K$5:$K$14)</f>
        <v>1</v>
      </c>
      <c r="F26" s="19">
        <f>CORREL('Data Dashboard'!$K$5:$K$14,'Data Dashboard'!$O$5:$O$14)</f>
        <v>0.43065069134795714</v>
      </c>
      <c r="G26" s="19">
        <f>CORREL('Data Dashboard'!$K$5:$K$14,'Data Dashboard'!$P$5:$P$14)</f>
        <v>5.7227311922075398E-2</v>
      </c>
      <c r="H26" s="19">
        <f>CORREL('Data Dashboard'!$K$5:$K$14,'Data Dashboard'!$L$5:$L$14)</f>
        <v>0.9537278637801565</v>
      </c>
    </row>
    <row r="27" spans="1:8" x14ac:dyDescent="0.2">
      <c r="A27" s="18" t="s">
        <v>60</v>
      </c>
      <c r="B27" s="19">
        <f>CORREL('Data Dashboard'!$O$5:$O$14,'Data Dashboard'!$B$5:$B$14)</f>
        <v>0.91053320580483044</v>
      </c>
      <c r="C27" s="19">
        <f>CORREL('Data Dashboard'!$O$5:$O$14,'Data Dashboard'!$D$5:$D$14)</f>
        <v>0.83052478915348604</v>
      </c>
      <c r="D27" s="19">
        <f>CORREL('Data Dashboard'!$O$5:$O$14,'Data Dashboard'!$G$5:$G$14)</f>
        <v>-7.956101635976312E-2</v>
      </c>
      <c r="E27" s="19">
        <f>CORREL('Data Dashboard'!$O$5:$O$14,'Data Dashboard'!$K$5:$K$14)</f>
        <v>0.43065069134795714</v>
      </c>
      <c r="F27" s="19">
        <f>CORREL('Data Dashboard'!$O$5:$O$14,'Data Dashboard'!$O$5:$O$14)</f>
        <v>1</v>
      </c>
      <c r="G27" s="19">
        <f>CORREL('Data Dashboard'!$O$5:$O$14,'Data Dashboard'!$P$5:$P$14)</f>
        <v>3.8460468478431126E-2</v>
      </c>
      <c r="H27" s="19">
        <f>CORREL('Data Dashboard'!$O$5:$O$14,'Data Dashboard'!$L$5:$L$14)</f>
        <v>0.21390492355420429</v>
      </c>
    </row>
    <row r="28" spans="1:8" x14ac:dyDescent="0.2">
      <c r="A28" s="18" t="s">
        <v>61</v>
      </c>
      <c r="B28" s="19">
        <f>CORREL('Data Dashboard'!$P$5:$P$14,'Data Dashboard'!$B$5:$B$14)</f>
        <v>7.7848860465209641E-2</v>
      </c>
      <c r="C28" s="19">
        <f>CORREL('Data Dashboard'!$P$5:$P$14,'Data Dashboard'!$D$5:$D$14)</f>
        <v>0.3556768534729029</v>
      </c>
      <c r="D28" s="19">
        <f>CORREL('Data Dashboard'!$P$5:$P$14,'Data Dashboard'!$G$5:$G$14)</f>
        <v>0.35116704827037903</v>
      </c>
      <c r="E28" s="19">
        <f>CORREL('Data Dashboard'!$P$5:$P$14,'Data Dashboard'!$K$5:$K$14)</f>
        <v>5.7227311922075398E-2</v>
      </c>
      <c r="F28" s="19">
        <f>CORREL('Data Dashboard'!$P$5:$P$14,'Data Dashboard'!$O$5:$O$14)</f>
        <v>3.8460468478431126E-2</v>
      </c>
      <c r="G28" s="19">
        <f>CORREL('Data Dashboard'!$P$5:$P$14,'Data Dashboard'!$P$5:$P$14)</f>
        <v>0.99999999999999978</v>
      </c>
      <c r="H28" s="19">
        <f>CORREL('Data Dashboard'!$P$5:$P$14,'Data Dashboard'!$L$5:$L$14)</f>
        <v>2.0792147310278803E-2</v>
      </c>
    </row>
    <row r="29" spans="1:8" x14ac:dyDescent="0.2">
      <c r="A29" s="18" t="s">
        <v>62</v>
      </c>
      <c r="B29" s="19">
        <f>CORREL('Data Dashboard'!$L$5:$L$14,'Data Dashboard'!$B$5:$B$14)</f>
        <v>0.28094802366491223</v>
      </c>
      <c r="C29" s="19">
        <f>CORREL('Data Dashboard'!$L$5:$L$14,'Data Dashboard'!$D$5:$D$14)</f>
        <v>0.15956741883848397</v>
      </c>
      <c r="D29" s="19">
        <f>CORREL('Data Dashboard'!$L$5:$L$14,'Data Dashboard'!$G$5:$G$14)</f>
        <v>-0.16185975305336603</v>
      </c>
      <c r="E29" s="19">
        <f>CORREL('Data Dashboard'!$L$5:$L$14,'Data Dashboard'!$K$5:$K$14)</f>
        <v>0.9537278637801565</v>
      </c>
      <c r="F29" s="19">
        <f>CORREL('Data Dashboard'!$L$5:$L$14,'Data Dashboard'!$O$5:$O$14)</f>
        <v>0.21390492355420429</v>
      </c>
      <c r="G29" s="19">
        <f>CORREL('Data Dashboard'!$L$5:$L$14,'Data Dashboard'!$P$5:$P$14)</f>
        <v>2.0792147310278803E-2</v>
      </c>
      <c r="H29" s="19">
        <f>CORREL('Data Dashboard'!$L$5:$L$14,'Data Dashboard'!$L$5:$L$14)</f>
        <v>0.99999999999999978</v>
      </c>
    </row>
    <row r="31" spans="1:8" ht="17" x14ac:dyDescent="0.2">
      <c r="A31" s="11" t="s">
        <v>63</v>
      </c>
    </row>
    <row r="32" spans="1:8" x14ac:dyDescent="0.2">
      <c r="A32" s="10" t="s">
        <v>64</v>
      </c>
    </row>
    <row r="33" spans="1:3" ht="28" x14ac:dyDescent="0.2">
      <c r="A33" s="3" t="s">
        <v>1</v>
      </c>
      <c r="B33" s="3" t="s">
        <v>65</v>
      </c>
      <c r="C33" s="3" t="s">
        <v>66</v>
      </c>
    </row>
    <row r="34" spans="1:3" x14ac:dyDescent="0.2">
      <c r="A34" s="4" t="str">
        <f>'Data Dashboard'!A5</f>
        <v>Chennai Super Kings</v>
      </c>
      <c r="B34" s="4">
        <f>_xlfn.RANK.AVG('Data Dashboard'!G5,'Data Dashboard'!$G$5:$G$14)</f>
        <v>3</v>
      </c>
      <c r="C34" s="4">
        <f>_xlfn.RANK.AVG('Data Dashboard'!B5,'Data Dashboard'!$B$5:$B$14)</f>
        <v>3</v>
      </c>
    </row>
    <row r="35" spans="1:3" x14ac:dyDescent="0.2">
      <c r="A35" s="4" t="str">
        <f>'Data Dashboard'!A6</f>
        <v>Mumbai Indians</v>
      </c>
      <c r="B35" s="4">
        <f>_xlfn.RANK.AVG('Data Dashboard'!G6,'Data Dashboard'!$G$5:$G$14)</f>
        <v>4</v>
      </c>
      <c r="C35" s="4">
        <f>_xlfn.RANK.AVG('Data Dashboard'!B6,'Data Dashboard'!$B$5:$B$14)</f>
        <v>2</v>
      </c>
    </row>
    <row r="36" spans="1:3" x14ac:dyDescent="0.2">
      <c r="A36" s="4" t="str">
        <f>'Data Dashboard'!A7</f>
        <v>Royal Challengers Bengaluru</v>
      </c>
      <c r="B36" s="4">
        <f>_xlfn.RANK.AVG('Data Dashboard'!G7,'Data Dashboard'!$G$5:$G$14)</f>
        <v>7</v>
      </c>
      <c r="C36" s="4">
        <f>_xlfn.RANK.AVG('Data Dashboard'!B7,'Data Dashboard'!$B$5:$B$14)</f>
        <v>1</v>
      </c>
    </row>
    <row r="37" spans="1:3" x14ac:dyDescent="0.2">
      <c r="A37" s="4" t="str">
        <f>'Data Dashboard'!A8</f>
        <v>Kolkata Knight Riders</v>
      </c>
      <c r="B37" s="4">
        <f>_xlfn.RANK.AVG('Data Dashboard'!G8,'Data Dashboard'!$G$5:$G$14)</f>
        <v>6</v>
      </c>
      <c r="C37" s="4">
        <f>_xlfn.RANK.AVG('Data Dashboard'!B8,'Data Dashboard'!$B$5:$B$14)</f>
        <v>4</v>
      </c>
    </row>
    <row r="38" spans="1:3" x14ac:dyDescent="0.2">
      <c r="A38" s="4" t="str">
        <f>'Data Dashboard'!A9</f>
        <v>Sunrisers Hyderabad</v>
      </c>
      <c r="B38" s="4">
        <f>_xlfn.RANK.AVG('Data Dashboard'!G9,'Data Dashboard'!$G$5:$G$14)</f>
        <v>8</v>
      </c>
      <c r="C38" s="4">
        <f>_xlfn.RANK.AVG('Data Dashboard'!B9,'Data Dashboard'!$B$5:$B$14)</f>
        <v>5</v>
      </c>
    </row>
    <row r="39" spans="1:3" x14ac:dyDescent="0.2">
      <c r="A39" s="4" t="str">
        <f>'Data Dashboard'!A10</f>
        <v>Rajasthan Royals</v>
      </c>
      <c r="B39" s="4">
        <f>_xlfn.RANK.AVG('Data Dashboard'!G10,'Data Dashboard'!$G$5:$G$14)</f>
        <v>5</v>
      </c>
      <c r="C39" s="4">
        <f>_xlfn.RANK.AVG('Data Dashboard'!B10,'Data Dashboard'!$B$5:$B$14)</f>
        <v>7</v>
      </c>
    </row>
    <row r="40" spans="1:3" x14ac:dyDescent="0.2">
      <c r="A40" s="4" t="str">
        <f>'Data Dashboard'!A11</f>
        <v>Delhi Capitals</v>
      </c>
      <c r="B40" s="4">
        <f>_xlfn.RANK.AVG('Data Dashboard'!G11,'Data Dashboard'!$G$5:$G$14)</f>
        <v>9.5</v>
      </c>
      <c r="C40" s="4">
        <f>_xlfn.RANK.AVG('Data Dashboard'!B11,'Data Dashboard'!$B$5:$B$14)</f>
        <v>6</v>
      </c>
    </row>
    <row r="41" spans="1:3" x14ac:dyDescent="0.2">
      <c r="A41" s="4" t="str">
        <f>'Data Dashboard'!A12</f>
        <v>Punjab Kings</v>
      </c>
      <c r="B41" s="4">
        <f>_xlfn.RANK.AVG('Data Dashboard'!G12,'Data Dashboard'!$G$5:$G$14)</f>
        <v>9.5</v>
      </c>
      <c r="C41" s="4">
        <f>_xlfn.RANK.AVG('Data Dashboard'!B12,'Data Dashboard'!$B$5:$B$14)</f>
        <v>9</v>
      </c>
    </row>
    <row r="42" spans="1:3" x14ac:dyDescent="0.2">
      <c r="A42" s="4" t="str">
        <f>'Data Dashboard'!A13</f>
        <v>Gujarat Titans</v>
      </c>
      <c r="B42" s="4">
        <f>_xlfn.RANK.AVG('Data Dashboard'!G13,'Data Dashboard'!$G$5:$G$14)</f>
        <v>1</v>
      </c>
      <c r="C42" s="4">
        <f>_xlfn.RANK.AVG('Data Dashboard'!B13,'Data Dashboard'!$B$5:$B$14)</f>
        <v>8</v>
      </c>
    </row>
    <row r="43" spans="1:3" x14ac:dyDescent="0.2">
      <c r="A43" s="4" t="str">
        <f>'Data Dashboard'!A14</f>
        <v>Lucknow Super Giants</v>
      </c>
      <c r="B43" s="4">
        <f>_xlfn.RANK.AVG('Data Dashboard'!G14,'Data Dashboard'!$G$5:$G$14)</f>
        <v>2</v>
      </c>
      <c r="C43" s="4">
        <f>_xlfn.RANK.AVG('Data Dashboard'!B14,'Data Dashboard'!$B$5:$B$14)</f>
        <v>10</v>
      </c>
    </row>
    <row r="44" spans="1:3" x14ac:dyDescent="0.2">
      <c r="A44" s="20" t="s">
        <v>67</v>
      </c>
      <c r="B44" s="15">
        <f>CORREL(B34:B43,C34:C43)</f>
        <v>-0.10942299786241164</v>
      </c>
    </row>
    <row r="45" spans="1:3" x14ac:dyDescent="0.2">
      <c r="A45" s="12" t="s">
        <v>53</v>
      </c>
      <c r="B45" s="12">
        <f>COUNT(B34:B43)</f>
        <v>10</v>
      </c>
    </row>
    <row r="46" spans="1:3" x14ac:dyDescent="0.2">
      <c r="A46" s="12" t="s">
        <v>68</v>
      </c>
      <c r="B46" s="16">
        <f>B44*SQRT(B45-2)/SQRT(1-B44^2)</f>
        <v>-0.31136463409970488</v>
      </c>
    </row>
    <row r="47" spans="1:3" x14ac:dyDescent="0.2">
      <c r="A47" s="12" t="s">
        <v>69</v>
      </c>
      <c r="B47" s="15">
        <f>_xlfn.T.DIST.2T(ABS(B46),B45-2)</f>
        <v>0.76348264637414909</v>
      </c>
    </row>
    <row r="49" spans="1:8" ht="30" customHeight="1" x14ac:dyDescent="0.2">
      <c r="A49" s="43" t="s">
        <v>70</v>
      </c>
      <c r="B49" s="43"/>
      <c r="C49" s="43"/>
      <c r="D49" s="43"/>
      <c r="E49" s="43"/>
      <c r="F49" s="43"/>
      <c r="G49" s="43"/>
      <c r="H49" s="43"/>
    </row>
    <row r="51" spans="1:8" ht="17" x14ac:dyDescent="0.2">
      <c r="A51" s="11" t="s">
        <v>71</v>
      </c>
    </row>
    <row r="52" spans="1:8" ht="30" customHeight="1" x14ac:dyDescent="0.2">
      <c r="A52" s="42" t="s">
        <v>72</v>
      </c>
      <c r="B52" s="42"/>
      <c r="C52" s="42"/>
      <c r="D52" s="42"/>
      <c r="E52" s="42"/>
      <c r="F52" s="42"/>
      <c r="G52" s="42"/>
      <c r="H52" s="42"/>
    </row>
    <row r="53" spans="1:8" x14ac:dyDescent="0.2">
      <c r="A53" s="12" t="s">
        <v>73</v>
      </c>
      <c r="B53" s="16">
        <f>CORREL('Data Dashboard'!$D$5:$D$14,'Data Dashboard'!$B$5:$B$14)</f>
        <v>0.80683425741122294</v>
      </c>
    </row>
    <row r="54" spans="1:8" x14ac:dyDescent="0.2">
      <c r="A54" s="12" t="s">
        <v>74</v>
      </c>
      <c r="B54" s="16">
        <f>CORREL('Data Dashboard'!$D$5:$D$14,'Data Dashboard'!$K$5:$K$14)</f>
        <v>0.39828708180821554</v>
      </c>
    </row>
    <row r="55" spans="1:8" x14ac:dyDescent="0.2">
      <c r="A55" s="12" t="s">
        <v>75</v>
      </c>
      <c r="B55" s="16">
        <f>CORREL('Data Dashboard'!$B$5:$B$14,'Data Dashboard'!$K$5:$K$14)</f>
        <v>0.50379966124640507</v>
      </c>
    </row>
    <row r="56" spans="1:8" x14ac:dyDescent="0.2">
      <c r="A56" s="20" t="s">
        <v>76</v>
      </c>
      <c r="B56" s="15">
        <f>(B53-B54*B55)/SQRT((1-B54^2)*(1-B55^2))</f>
        <v>0.76503860761398546</v>
      </c>
    </row>
    <row r="58" spans="1:8" ht="30" customHeight="1" x14ac:dyDescent="0.2">
      <c r="A58" s="43" t="s">
        <v>77</v>
      </c>
      <c r="B58" s="43"/>
      <c r="C58" s="43"/>
      <c r="D58" s="43"/>
      <c r="E58" s="43"/>
      <c r="F58" s="43"/>
      <c r="G58" s="43"/>
      <c r="H58" s="43"/>
    </row>
  </sheetData>
  <mergeCells count="4">
    <mergeCell ref="A19:H19"/>
    <mergeCell ref="A49:H49"/>
    <mergeCell ref="A52:H52"/>
    <mergeCell ref="A58:H58"/>
  </mergeCells>
  <conditionalFormatting sqref="B23:H29">
    <cfRule type="colorScale" priority="2">
      <colorScale>
        <cfvo type="min"/>
        <cfvo type="num" val="0"/>
        <cfvo type="max"/>
        <color rgb="FFF8696B"/>
        <color rgb="FFFFFFFF"/>
        <color rgb="FF63BE7B"/>
      </colorScale>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4"/>
  <sheetViews>
    <sheetView topLeftCell="A13" zoomScaleNormal="100" workbookViewId="0">
      <selection activeCell="A2" sqref="A2"/>
    </sheetView>
  </sheetViews>
  <sheetFormatPr baseColWidth="10" defaultColWidth="8.6640625" defaultRowHeight="15" x14ac:dyDescent="0.2"/>
  <cols>
    <col min="1" max="1" width="46" customWidth="1"/>
    <col min="2" max="2" width="16" customWidth="1"/>
    <col min="3" max="6" width="14" customWidth="1"/>
  </cols>
  <sheetData>
    <row r="1" spans="1:4" ht="20" x14ac:dyDescent="0.2">
      <c r="A1" s="1" t="s">
        <v>78</v>
      </c>
    </row>
    <row r="2" spans="1:4" x14ac:dyDescent="0.2">
      <c r="A2" s="2"/>
    </row>
    <row r="4" spans="1:4" ht="17" x14ac:dyDescent="0.2">
      <c r="A4" s="11" t="s">
        <v>79</v>
      </c>
    </row>
    <row r="6" spans="1:4" x14ac:dyDescent="0.2">
      <c r="A6" s="12" t="s">
        <v>80</v>
      </c>
      <c r="B6" s="13">
        <f>MEDIAN('Data Dashboard'!$P$5:$P$14)</f>
        <v>119.85</v>
      </c>
    </row>
    <row r="7" spans="1:4" x14ac:dyDescent="0.2">
      <c r="A7" s="12" t="s">
        <v>81</v>
      </c>
      <c r="B7" s="12">
        <f>MEDIAN('Data Dashboard'!$E$5:$E$14)</f>
        <v>7.5</v>
      </c>
    </row>
    <row r="9" spans="1:4" x14ac:dyDescent="0.2">
      <c r="A9" s="20" t="s">
        <v>82</v>
      </c>
    </row>
    <row r="10" spans="1:4" ht="28" x14ac:dyDescent="0.2">
      <c r="A10" s="3" t="s">
        <v>83</v>
      </c>
      <c r="B10" s="3" t="s">
        <v>84</v>
      </c>
      <c r="C10" s="3" t="s">
        <v>85</v>
      </c>
      <c r="D10" s="3" t="s">
        <v>86</v>
      </c>
    </row>
    <row r="11" spans="1:4" x14ac:dyDescent="0.2">
      <c r="A11" s="4" t="s">
        <v>87</v>
      </c>
      <c r="B11" s="4">
        <f>COUNTIFS('Data Dashboard'!$P$5:$P$14,"&lt;"&amp;$B$6,'Data Dashboard'!$E$5:$E$14,"&lt;"&amp;$B$7)</f>
        <v>2</v>
      </c>
      <c r="C11" s="4">
        <f>COUNTIFS('Data Dashboard'!$P$5:$P$14,"&lt;"&amp;$B$6,'Data Dashboard'!$E$5:$E$14,"&gt;="&amp;$B$7)</f>
        <v>2</v>
      </c>
      <c r="D11" s="4">
        <f>B11+C11</f>
        <v>4</v>
      </c>
    </row>
    <row r="12" spans="1:4" x14ac:dyDescent="0.2">
      <c r="A12" s="4" t="s">
        <v>88</v>
      </c>
      <c r="B12" s="4">
        <f>COUNTIFS('Data Dashboard'!$P$5:$P$14,"&gt;="&amp;$B$6,'Data Dashboard'!$E$5:$E$14,"&lt;"&amp;$B$7)</f>
        <v>3</v>
      </c>
      <c r="C12" s="4">
        <f>COUNTIFS('Data Dashboard'!$P$5:$P$14,"&gt;="&amp;$B$6,'Data Dashboard'!$E$5:$E$14,"&gt;="&amp;$B$7)</f>
        <v>3</v>
      </c>
      <c r="D12" s="4">
        <f>B12+C12</f>
        <v>6</v>
      </c>
    </row>
    <row r="14" spans="1:4" x14ac:dyDescent="0.2">
      <c r="A14" s="20" t="s">
        <v>89</v>
      </c>
      <c r="B14" s="21">
        <f>C12/D12</f>
        <v>0.5</v>
      </c>
    </row>
    <row r="16" spans="1:4" ht="45" customHeight="1" x14ac:dyDescent="0.2">
      <c r="A16" s="43" t="s">
        <v>90</v>
      </c>
      <c r="B16" s="43"/>
      <c r="C16" s="43"/>
      <c r="D16" s="43"/>
    </row>
    <row r="19" spans="1:6" ht="17" x14ac:dyDescent="0.2">
      <c r="A19" s="11" t="s">
        <v>91</v>
      </c>
    </row>
    <row r="20" spans="1:6" x14ac:dyDescent="0.2">
      <c r="A20" s="10" t="s">
        <v>92</v>
      </c>
    </row>
    <row r="21" spans="1:6" x14ac:dyDescent="0.2">
      <c r="A21" s="12" t="s">
        <v>53</v>
      </c>
      <c r="B21" s="12">
        <f>COUNT('Raw NRR Data'!$D$5:$D$132)</f>
        <v>128</v>
      </c>
    </row>
    <row r="22" spans="1:6" x14ac:dyDescent="0.2">
      <c r="A22" s="12" t="s">
        <v>93</v>
      </c>
      <c r="B22" s="16">
        <f>AVERAGE('Raw NRR Data'!$D$5:$D$132)</f>
        <v>-2.26562499999995E-4</v>
      </c>
    </row>
    <row r="23" spans="1:6" x14ac:dyDescent="0.2">
      <c r="A23" s="12" t="s">
        <v>94</v>
      </c>
      <c r="B23" s="16">
        <f>_xlfn.STDEV.S('Raw NRR Data'!$D$5:$D$132)</f>
        <v>0.49077299168517624</v>
      </c>
    </row>
    <row r="24" spans="1:6" x14ac:dyDescent="0.2">
      <c r="A24" s="12" t="s">
        <v>95</v>
      </c>
      <c r="B24" s="16">
        <f>SKEW('Raw NRR Data'!$D$5:$D$132)</f>
        <v>-0.19749105115463766</v>
      </c>
    </row>
    <row r="25" spans="1:6" x14ac:dyDescent="0.2">
      <c r="A25" s="12" t="s">
        <v>96</v>
      </c>
      <c r="B25" s="16">
        <f>KURT('Raw NRR Data'!$D$5:$D$132)</f>
        <v>0.24317897536006772</v>
      </c>
    </row>
    <row r="27" spans="1:6" x14ac:dyDescent="0.2">
      <c r="A27" s="20"/>
    </row>
    <row r="28" spans="1:6" ht="54.75" customHeight="1" x14ac:dyDescent="0.2">
      <c r="A28" s="42"/>
      <c r="B28" s="42"/>
      <c r="C28" s="42"/>
      <c r="D28" s="42"/>
      <c r="E28" s="42"/>
      <c r="F28" s="42"/>
    </row>
    <row r="29" spans="1:6" x14ac:dyDescent="0.2">
      <c r="A29" s="22" t="s">
        <v>97</v>
      </c>
      <c r="B29" s="22">
        <v>0.99080000000000001</v>
      </c>
    </row>
    <row r="30" spans="1:6" x14ac:dyDescent="0.2">
      <c r="A30" s="22" t="s">
        <v>98</v>
      </c>
      <c r="B30" s="22">
        <v>0.51519999999999999</v>
      </c>
    </row>
    <row r="31" spans="1:6" x14ac:dyDescent="0.2">
      <c r="A31" s="12" t="s">
        <v>99</v>
      </c>
    </row>
    <row r="33" spans="1:2" x14ac:dyDescent="0.2">
      <c r="A33" s="20" t="s">
        <v>100</v>
      </c>
    </row>
    <row r="34" spans="1:2" x14ac:dyDescent="0.2">
      <c r="A34" s="20" t="s">
        <v>101</v>
      </c>
      <c r="B34" s="20" t="s">
        <v>102</v>
      </c>
    </row>
    <row r="35" spans="1:2" x14ac:dyDescent="0.2">
      <c r="A35" s="4">
        <v>-1.1819999999999999</v>
      </c>
      <c r="B35" s="23">
        <f t="array" ref="B35:B44">FREQUENCY('Raw NRR Data'!$D$5:$D$132,A35:A44)</f>
        <v>3</v>
      </c>
    </row>
    <row r="36" spans="1:2" x14ac:dyDescent="0.2">
      <c r="A36" s="4">
        <v>-0.92700000000000005</v>
      </c>
      <c r="B36" s="23">
        <v>2</v>
      </c>
    </row>
    <row r="37" spans="1:2" x14ac:dyDescent="0.2">
      <c r="A37" s="4">
        <v>-0.67300000000000004</v>
      </c>
      <c r="B37" s="23">
        <v>4</v>
      </c>
    </row>
    <row r="38" spans="1:2" x14ac:dyDescent="0.2">
      <c r="A38" s="4">
        <v>-0.41899999999999998</v>
      </c>
      <c r="B38" s="23">
        <v>17</v>
      </c>
    </row>
    <row r="39" spans="1:2" x14ac:dyDescent="0.2">
      <c r="A39" s="4">
        <v>-0.16400000000000001</v>
      </c>
      <c r="B39" s="23">
        <v>20</v>
      </c>
    </row>
    <row r="40" spans="1:2" x14ac:dyDescent="0.2">
      <c r="A40" s="4">
        <v>0.09</v>
      </c>
      <c r="B40" s="23">
        <v>24</v>
      </c>
    </row>
    <row r="41" spans="1:2" x14ac:dyDescent="0.2">
      <c r="A41" s="4">
        <v>0.34399999999999997</v>
      </c>
      <c r="B41" s="23">
        <v>31</v>
      </c>
    </row>
    <row r="42" spans="1:2" x14ac:dyDescent="0.2">
      <c r="A42" s="4">
        <v>0.59799999999999998</v>
      </c>
      <c r="B42" s="23">
        <v>13</v>
      </c>
    </row>
    <row r="43" spans="1:2" x14ac:dyDescent="0.2">
      <c r="A43" s="4">
        <v>0.85299999999999998</v>
      </c>
      <c r="B43" s="23">
        <v>8</v>
      </c>
    </row>
    <row r="44" spans="1:2" x14ac:dyDescent="0.2">
      <c r="A44" s="4">
        <v>1.107</v>
      </c>
      <c r="B44" s="23">
        <v>6</v>
      </c>
    </row>
  </sheetData>
  <mergeCells count="2">
    <mergeCell ref="A16:D16"/>
    <mergeCell ref="A28:F28"/>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2"/>
  <sheetViews>
    <sheetView topLeftCell="A80" zoomScaleNormal="100" workbookViewId="0">
      <selection activeCell="M9" sqref="M9"/>
    </sheetView>
  </sheetViews>
  <sheetFormatPr baseColWidth="10" defaultColWidth="8.6640625" defaultRowHeight="15" x14ac:dyDescent="0.2"/>
  <cols>
    <col min="1" max="1" width="16" customWidth="1"/>
    <col min="2" max="2" width="28" customWidth="1"/>
    <col min="3" max="3" width="12" customWidth="1"/>
    <col min="4" max="4" width="10" customWidth="1"/>
  </cols>
  <sheetData>
    <row r="1" spans="1:4" ht="20" x14ac:dyDescent="0.2">
      <c r="A1" s="1" t="s">
        <v>103</v>
      </c>
    </row>
    <row r="2" spans="1:4" x14ac:dyDescent="0.2">
      <c r="A2" s="2" t="s">
        <v>238</v>
      </c>
    </row>
    <row r="4" spans="1:4" x14ac:dyDescent="0.2">
      <c r="A4" s="3" t="s">
        <v>104</v>
      </c>
      <c r="B4" s="3" t="s">
        <v>1</v>
      </c>
      <c r="C4" s="3" t="s">
        <v>105</v>
      </c>
      <c r="D4" s="3" t="s">
        <v>106</v>
      </c>
    </row>
    <row r="5" spans="1:4" x14ac:dyDescent="0.2">
      <c r="A5" s="24">
        <v>2023</v>
      </c>
      <c r="B5" s="24" t="s">
        <v>28</v>
      </c>
      <c r="C5" s="24" t="s">
        <v>107</v>
      </c>
      <c r="D5" s="24">
        <v>0.80900000000000005</v>
      </c>
    </row>
    <row r="6" spans="1:4" x14ac:dyDescent="0.2">
      <c r="A6" s="24">
        <v>2023</v>
      </c>
      <c r="B6" s="24" t="s">
        <v>20</v>
      </c>
      <c r="C6" s="24" t="s">
        <v>108</v>
      </c>
      <c r="D6" s="24">
        <v>0.65200000000000002</v>
      </c>
    </row>
    <row r="7" spans="1:4" x14ac:dyDescent="0.2">
      <c r="A7" s="24">
        <v>2023</v>
      </c>
      <c r="B7" s="24" t="s">
        <v>29</v>
      </c>
      <c r="C7" s="24" t="s">
        <v>109</v>
      </c>
      <c r="D7" s="24">
        <v>0.28399999999999997</v>
      </c>
    </row>
    <row r="8" spans="1:4" x14ac:dyDescent="0.2">
      <c r="A8" s="24">
        <v>2023</v>
      </c>
      <c r="B8" s="24" t="s">
        <v>21</v>
      </c>
      <c r="C8" s="24" t="s">
        <v>110</v>
      </c>
      <c r="D8" s="24">
        <v>-4.3999999999999997E-2</v>
      </c>
    </row>
    <row r="9" spans="1:4" x14ac:dyDescent="0.2">
      <c r="A9" s="24">
        <v>2023</v>
      </c>
      <c r="B9" s="24" t="s">
        <v>25</v>
      </c>
      <c r="C9" s="24" t="s">
        <v>111</v>
      </c>
      <c r="D9" s="24">
        <v>0.14799999999999999</v>
      </c>
    </row>
    <row r="10" spans="1:4" x14ac:dyDescent="0.2">
      <c r="A10" s="24">
        <v>2023</v>
      </c>
      <c r="B10" s="24" t="s">
        <v>22</v>
      </c>
      <c r="C10" s="24" t="s">
        <v>112</v>
      </c>
      <c r="D10" s="24">
        <v>0.13500000000000001</v>
      </c>
    </row>
    <row r="11" spans="1:4" x14ac:dyDescent="0.2">
      <c r="A11" s="24">
        <v>2023</v>
      </c>
      <c r="B11" s="24" t="s">
        <v>23</v>
      </c>
      <c r="C11" s="24" t="s">
        <v>113</v>
      </c>
      <c r="D11" s="24">
        <v>-0.23899999999999999</v>
      </c>
    </row>
    <row r="12" spans="1:4" x14ac:dyDescent="0.2">
      <c r="A12" s="24">
        <v>2023</v>
      </c>
      <c r="B12" s="24" t="s">
        <v>27</v>
      </c>
      <c r="C12" s="24" t="s">
        <v>114</v>
      </c>
      <c r="D12" s="24">
        <v>-0.30399999999999999</v>
      </c>
    </row>
    <row r="13" spans="1:4" x14ac:dyDescent="0.2">
      <c r="A13" s="24">
        <v>2023</v>
      </c>
      <c r="B13" s="24" t="s">
        <v>26</v>
      </c>
      <c r="C13" s="24" t="s">
        <v>115</v>
      </c>
      <c r="D13" s="24">
        <v>-0.80800000000000005</v>
      </c>
    </row>
    <row r="14" spans="1:4" x14ac:dyDescent="0.2">
      <c r="A14" s="24">
        <v>2023</v>
      </c>
      <c r="B14" s="24" t="s">
        <v>24</v>
      </c>
      <c r="C14" s="24" t="s">
        <v>116</v>
      </c>
      <c r="D14" s="24">
        <v>-0.59</v>
      </c>
    </row>
    <row r="15" spans="1:4" x14ac:dyDescent="0.2">
      <c r="A15" s="24">
        <v>2022</v>
      </c>
      <c r="B15" s="24" t="s">
        <v>28</v>
      </c>
      <c r="C15" s="24" t="s">
        <v>107</v>
      </c>
      <c r="D15" s="24">
        <v>0.316</v>
      </c>
    </row>
    <row r="16" spans="1:4" x14ac:dyDescent="0.2">
      <c r="A16" s="24">
        <v>2022</v>
      </c>
      <c r="B16" s="24" t="s">
        <v>25</v>
      </c>
      <c r="C16" s="24" t="s">
        <v>108</v>
      </c>
      <c r="D16" s="24">
        <v>0.29799999999999999</v>
      </c>
    </row>
    <row r="17" spans="1:4" x14ac:dyDescent="0.2">
      <c r="A17" s="24">
        <v>2022</v>
      </c>
      <c r="B17" s="24" t="s">
        <v>29</v>
      </c>
      <c r="C17" s="24" t="s">
        <v>109</v>
      </c>
      <c r="D17" s="24">
        <v>0.251</v>
      </c>
    </row>
    <row r="18" spans="1:4" x14ac:dyDescent="0.2">
      <c r="A18" s="24">
        <v>2022</v>
      </c>
      <c r="B18" s="24" t="s">
        <v>22</v>
      </c>
      <c r="C18" s="24" t="s">
        <v>110</v>
      </c>
      <c r="D18" s="24">
        <v>-0.253</v>
      </c>
    </row>
    <row r="19" spans="1:4" x14ac:dyDescent="0.2">
      <c r="A19" s="24">
        <v>2022</v>
      </c>
      <c r="B19" s="24" t="s">
        <v>26</v>
      </c>
      <c r="C19" s="24" t="s">
        <v>111</v>
      </c>
      <c r="D19" s="24">
        <v>0.20399999999999999</v>
      </c>
    </row>
    <row r="20" spans="1:4" x14ac:dyDescent="0.2">
      <c r="A20" s="24">
        <v>2022</v>
      </c>
      <c r="B20" s="24" t="s">
        <v>27</v>
      </c>
      <c r="C20" s="24" t="s">
        <v>112</v>
      </c>
      <c r="D20" s="24">
        <v>0.126</v>
      </c>
    </row>
    <row r="21" spans="1:4" x14ac:dyDescent="0.2">
      <c r="A21" s="24">
        <v>2022</v>
      </c>
      <c r="B21" s="24" t="s">
        <v>23</v>
      </c>
      <c r="C21" s="24" t="s">
        <v>113</v>
      </c>
      <c r="D21" s="24">
        <v>0.14599999999999999</v>
      </c>
    </row>
    <row r="22" spans="1:4" x14ac:dyDescent="0.2">
      <c r="A22" s="24">
        <v>2022</v>
      </c>
      <c r="B22" s="24" t="s">
        <v>24</v>
      </c>
      <c r="C22" s="24" t="s">
        <v>114</v>
      </c>
      <c r="D22" s="24">
        <v>-0.379</v>
      </c>
    </row>
    <row r="23" spans="1:4" x14ac:dyDescent="0.2">
      <c r="A23" s="24">
        <v>2022</v>
      </c>
      <c r="B23" s="24" t="s">
        <v>20</v>
      </c>
      <c r="C23" s="24" t="s">
        <v>115</v>
      </c>
      <c r="D23" s="24">
        <v>-0.20300000000000001</v>
      </c>
    </row>
    <row r="24" spans="1:4" x14ac:dyDescent="0.2">
      <c r="A24" s="24">
        <v>2022</v>
      </c>
      <c r="B24" s="24" t="s">
        <v>21</v>
      </c>
      <c r="C24" s="24" t="s">
        <v>116</v>
      </c>
      <c r="D24" s="24">
        <v>-0.50600000000000001</v>
      </c>
    </row>
    <row r="25" spans="1:4" x14ac:dyDescent="0.2">
      <c r="A25" s="24">
        <v>2021</v>
      </c>
      <c r="B25" s="24" t="s">
        <v>26</v>
      </c>
      <c r="C25" s="24" t="s">
        <v>107</v>
      </c>
      <c r="D25" s="24">
        <v>0.48099999999999998</v>
      </c>
    </row>
    <row r="26" spans="1:4" x14ac:dyDescent="0.2">
      <c r="A26" s="24">
        <v>2021</v>
      </c>
      <c r="B26" s="24" t="s">
        <v>20</v>
      </c>
      <c r="C26" s="24" t="s">
        <v>108</v>
      </c>
      <c r="D26" s="24">
        <v>0.45500000000000002</v>
      </c>
    </row>
    <row r="27" spans="1:4" x14ac:dyDescent="0.2">
      <c r="A27" s="24">
        <v>2021</v>
      </c>
      <c r="B27" s="24" t="s">
        <v>22</v>
      </c>
      <c r="C27" s="24" t="s">
        <v>109</v>
      </c>
      <c r="D27" s="24">
        <v>-0.14000000000000001</v>
      </c>
    </row>
    <row r="28" spans="1:4" x14ac:dyDescent="0.2">
      <c r="A28" s="24">
        <v>2021</v>
      </c>
      <c r="B28" s="24" t="s">
        <v>23</v>
      </c>
      <c r="C28" s="24" t="s">
        <v>110</v>
      </c>
      <c r="D28" s="24">
        <v>0.58699999999999997</v>
      </c>
    </row>
    <row r="29" spans="1:4" x14ac:dyDescent="0.2">
      <c r="A29" s="24">
        <v>2021</v>
      </c>
      <c r="B29" s="24" t="s">
        <v>21</v>
      </c>
      <c r="C29" s="24" t="s">
        <v>111</v>
      </c>
      <c r="D29" s="24">
        <v>0.11600000000000001</v>
      </c>
    </row>
    <row r="30" spans="1:4" x14ac:dyDescent="0.2">
      <c r="A30" s="24">
        <v>2021</v>
      </c>
      <c r="B30" s="24" t="s">
        <v>27</v>
      </c>
      <c r="C30" s="24" t="s">
        <v>112</v>
      </c>
      <c r="D30" s="24">
        <v>-1E-3</v>
      </c>
    </row>
    <row r="31" spans="1:4" x14ac:dyDescent="0.2">
      <c r="A31" s="24">
        <v>2021</v>
      </c>
      <c r="B31" s="24" t="s">
        <v>25</v>
      </c>
      <c r="C31" s="24" t="s">
        <v>113</v>
      </c>
      <c r="D31" s="24">
        <v>-0.99299999999999999</v>
      </c>
    </row>
    <row r="32" spans="1:4" x14ac:dyDescent="0.2">
      <c r="A32" s="24">
        <v>2021</v>
      </c>
      <c r="B32" s="24" t="s">
        <v>24</v>
      </c>
      <c r="C32" s="24" t="s">
        <v>114</v>
      </c>
      <c r="D32" s="24">
        <v>-0.54500000000000004</v>
      </c>
    </row>
    <row r="33" spans="1:4" x14ac:dyDescent="0.2">
      <c r="A33" s="24">
        <v>2020</v>
      </c>
      <c r="B33" s="24" t="s">
        <v>21</v>
      </c>
      <c r="C33" s="24" t="s">
        <v>117</v>
      </c>
      <c r="D33" s="24">
        <v>1.107</v>
      </c>
    </row>
    <row r="34" spans="1:4" x14ac:dyDescent="0.2">
      <c r="A34" s="24">
        <v>2020</v>
      </c>
      <c r="B34" s="24" t="s">
        <v>26</v>
      </c>
      <c r="C34" s="24" t="s">
        <v>118</v>
      </c>
      <c r="D34" s="24">
        <v>-0.109</v>
      </c>
    </row>
    <row r="35" spans="1:4" x14ac:dyDescent="0.2">
      <c r="A35" s="24">
        <v>2020</v>
      </c>
      <c r="B35" s="24" t="s">
        <v>24</v>
      </c>
      <c r="C35" s="24" t="s">
        <v>119</v>
      </c>
      <c r="D35" s="24">
        <v>0.60799999999999998</v>
      </c>
    </row>
    <row r="36" spans="1:4" x14ac:dyDescent="0.2">
      <c r="A36" s="24">
        <v>2020</v>
      </c>
      <c r="B36" s="24" t="s">
        <v>22</v>
      </c>
      <c r="C36" s="24" t="s">
        <v>114</v>
      </c>
      <c r="D36" s="24">
        <v>-0.17199999999999999</v>
      </c>
    </row>
    <row r="37" spans="1:4" x14ac:dyDescent="0.2">
      <c r="A37" s="24">
        <v>2020</v>
      </c>
      <c r="B37" s="24" t="s">
        <v>23</v>
      </c>
      <c r="C37" s="24" t="s">
        <v>111</v>
      </c>
      <c r="D37" s="24">
        <v>-0.214</v>
      </c>
    </row>
    <row r="38" spans="1:4" x14ac:dyDescent="0.2">
      <c r="A38" s="24">
        <v>2020</v>
      </c>
      <c r="B38" s="24" t="s">
        <v>27</v>
      </c>
      <c r="C38" s="24" t="s">
        <v>112</v>
      </c>
      <c r="D38" s="24">
        <v>-0.16200000000000001</v>
      </c>
    </row>
    <row r="39" spans="1:4" x14ac:dyDescent="0.2">
      <c r="A39" s="24">
        <v>2020</v>
      </c>
      <c r="B39" s="24" t="s">
        <v>20</v>
      </c>
      <c r="C39" s="24" t="s">
        <v>120</v>
      </c>
      <c r="D39" s="24">
        <v>-0.45500000000000002</v>
      </c>
    </row>
    <row r="40" spans="1:4" x14ac:dyDescent="0.2">
      <c r="A40" s="24">
        <v>2020</v>
      </c>
      <c r="B40" s="24" t="s">
        <v>25</v>
      </c>
      <c r="C40" s="24" t="s">
        <v>113</v>
      </c>
      <c r="D40" s="24">
        <v>-0.56899999999999995</v>
      </c>
    </row>
    <row r="41" spans="1:4" x14ac:dyDescent="0.2">
      <c r="A41" s="24">
        <v>2019</v>
      </c>
      <c r="B41" s="24" t="s">
        <v>21</v>
      </c>
      <c r="C41" s="24" t="s">
        <v>117</v>
      </c>
      <c r="D41" s="24">
        <v>0.42099999999999999</v>
      </c>
    </row>
    <row r="42" spans="1:4" x14ac:dyDescent="0.2">
      <c r="A42" s="24">
        <v>2019</v>
      </c>
      <c r="B42" s="24" t="s">
        <v>20</v>
      </c>
      <c r="C42" s="24" t="s">
        <v>120</v>
      </c>
      <c r="D42" s="24">
        <v>0.13100000000000001</v>
      </c>
    </row>
    <row r="43" spans="1:4" x14ac:dyDescent="0.2">
      <c r="A43" s="24">
        <v>2019</v>
      </c>
      <c r="B43" s="24" t="s">
        <v>26</v>
      </c>
      <c r="C43" s="24" t="s">
        <v>118</v>
      </c>
      <c r="D43" s="24">
        <v>4.3999999999999997E-2</v>
      </c>
    </row>
    <row r="44" spans="1:4" x14ac:dyDescent="0.2">
      <c r="A44" s="24">
        <v>2019</v>
      </c>
      <c r="B44" s="24" t="s">
        <v>24</v>
      </c>
      <c r="C44" s="24" t="s">
        <v>119</v>
      </c>
      <c r="D44" s="24">
        <v>0.57699999999999996</v>
      </c>
    </row>
    <row r="45" spans="1:4" x14ac:dyDescent="0.2">
      <c r="A45" s="24">
        <v>2019</v>
      </c>
      <c r="B45" s="24" t="s">
        <v>23</v>
      </c>
      <c r="C45" s="24" t="s">
        <v>111</v>
      </c>
      <c r="D45" s="24">
        <v>2.8000000000000001E-2</v>
      </c>
    </row>
    <row r="46" spans="1:4" x14ac:dyDescent="0.2">
      <c r="A46" s="24">
        <v>2019</v>
      </c>
      <c r="B46" s="24" t="s">
        <v>27</v>
      </c>
      <c r="C46" s="24" t="s">
        <v>112</v>
      </c>
      <c r="D46" s="24">
        <v>-0.251</v>
      </c>
    </row>
    <row r="47" spans="1:4" x14ac:dyDescent="0.2">
      <c r="A47" s="24">
        <v>2019</v>
      </c>
      <c r="B47" s="24" t="s">
        <v>25</v>
      </c>
      <c r="C47" s="24" t="s">
        <v>113</v>
      </c>
      <c r="D47" s="24">
        <v>-0.44900000000000001</v>
      </c>
    </row>
    <row r="48" spans="1:4" x14ac:dyDescent="0.2">
      <c r="A48" s="24">
        <v>2019</v>
      </c>
      <c r="B48" s="24" t="s">
        <v>22</v>
      </c>
      <c r="C48" s="24" t="s">
        <v>114</v>
      </c>
      <c r="D48" s="24">
        <v>-0.60699999999999998</v>
      </c>
    </row>
    <row r="49" spans="1:4" x14ac:dyDescent="0.2">
      <c r="A49" s="24">
        <v>2018</v>
      </c>
      <c r="B49" s="24" t="s">
        <v>24</v>
      </c>
      <c r="C49" s="24" t="s">
        <v>117</v>
      </c>
      <c r="D49" s="24">
        <v>0.28399999999999997</v>
      </c>
    </row>
    <row r="50" spans="1:4" x14ac:dyDescent="0.2">
      <c r="A50" s="24">
        <v>2018</v>
      </c>
      <c r="B50" s="24" t="s">
        <v>20</v>
      </c>
      <c r="C50" s="24" t="s">
        <v>120</v>
      </c>
      <c r="D50" s="24">
        <v>0.253</v>
      </c>
    </row>
    <row r="51" spans="1:4" x14ac:dyDescent="0.2">
      <c r="A51" s="24">
        <v>2018</v>
      </c>
      <c r="B51" s="24" t="s">
        <v>23</v>
      </c>
      <c r="C51" s="24" t="s">
        <v>118</v>
      </c>
      <c r="D51" s="24">
        <v>-7.0000000000000007E-2</v>
      </c>
    </row>
    <row r="52" spans="1:4" x14ac:dyDescent="0.2">
      <c r="A52" s="24">
        <v>2018</v>
      </c>
      <c r="B52" s="24" t="s">
        <v>25</v>
      </c>
      <c r="C52" s="24" t="s">
        <v>119</v>
      </c>
      <c r="D52" s="24">
        <v>-0.25</v>
      </c>
    </row>
    <row r="53" spans="1:4" x14ac:dyDescent="0.2">
      <c r="A53" s="24">
        <v>2018</v>
      </c>
      <c r="B53" s="24" t="s">
        <v>21</v>
      </c>
      <c r="C53" s="24" t="s">
        <v>111</v>
      </c>
      <c r="D53" s="24">
        <v>0.317</v>
      </c>
    </row>
    <row r="54" spans="1:4" x14ac:dyDescent="0.2">
      <c r="A54" s="24">
        <v>2018</v>
      </c>
      <c r="B54" s="24" t="s">
        <v>22</v>
      </c>
      <c r="C54" s="24" t="s">
        <v>112</v>
      </c>
      <c r="D54" s="24">
        <v>0.129</v>
      </c>
    </row>
    <row r="55" spans="1:4" x14ac:dyDescent="0.2">
      <c r="A55" s="24">
        <v>2018</v>
      </c>
      <c r="B55" s="24" t="s">
        <v>27</v>
      </c>
      <c r="C55" s="24" t="s">
        <v>113</v>
      </c>
      <c r="D55" s="24">
        <v>-0.502</v>
      </c>
    </row>
    <row r="56" spans="1:4" x14ac:dyDescent="0.2">
      <c r="A56" s="24">
        <v>2018</v>
      </c>
      <c r="B56" s="24" t="s">
        <v>26</v>
      </c>
      <c r="C56" s="24" t="s">
        <v>114</v>
      </c>
      <c r="D56" s="24">
        <v>-0.222</v>
      </c>
    </row>
    <row r="57" spans="1:4" x14ac:dyDescent="0.2">
      <c r="A57" s="24">
        <v>2017</v>
      </c>
      <c r="B57" s="24" t="s">
        <v>21</v>
      </c>
      <c r="C57" s="24" t="s">
        <v>117</v>
      </c>
      <c r="D57" s="24">
        <v>0.78400000000000003</v>
      </c>
    </row>
    <row r="58" spans="1:4" x14ac:dyDescent="0.2">
      <c r="A58" s="24">
        <v>2017</v>
      </c>
      <c r="B58" s="24" t="s">
        <v>121</v>
      </c>
      <c r="C58" s="24" t="s">
        <v>120</v>
      </c>
      <c r="D58" s="24">
        <v>0.17599999999999999</v>
      </c>
    </row>
    <row r="59" spans="1:4" x14ac:dyDescent="0.2">
      <c r="A59" s="24">
        <v>2017</v>
      </c>
      <c r="B59" s="24" t="s">
        <v>24</v>
      </c>
      <c r="C59" s="24" t="s">
        <v>118</v>
      </c>
      <c r="D59" s="24">
        <v>0.59899999999999998</v>
      </c>
    </row>
    <row r="60" spans="1:4" x14ac:dyDescent="0.2">
      <c r="A60" s="24">
        <v>2017</v>
      </c>
      <c r="B60" s="24" t="s">
        <v>23</v>
      </c>
      <c r="C60" s="24" t="s">
        <v>119</v>
      </c>
      <c r="D60" s="24">
        <v>0.64100000000000001</v>
      </c>
    </row>
    <row r="61" spans="1:4" x14ac:dyDescent="0.2">
      <c r="A61" s="24">
        <v>2017</v>
      </c>
      <c r="B61" s="24" t="s">
        <v>27</v>
      </c>
      <c r="C61" s="24" t="s">
        <v>111</v>
      </c>
      <c r="D61" s="24">
        <v>-8.9999999999999993E-3</v>
      </c>
    </row>
    <row r="62" spans="1:4" x14ac:dyDescent="0.2">
      <c r="A62" s="24">
        <v>2017</v>
      </c>
      <c r="B62" s="24" t="s">
        <v>26</v>
      </c>
      <c r="C62" s="24" t="s">
        <v>112</v>
      </c>
      <c r="D62" s="24">
        <v>-0.51200000000000001</v>
      </c>
    </row>
    <row r="63" spans="1:4" x14ac:dyDescent="0.2">
      <c r="A63" s="24">
        <v>2017</v>
      </c>
      <c r="B63" s="24" t="s">
        <v>122</v>
      </c>
      <c r="C63" s="24" t="s">
        <v>113</v>
      </c>
      <c r="D63" s="24">
        <v>-0.41199999999999998</v>
      </c>
    </row>
    <row r="64" spans="1:4" x14ac:dyDescent="0.2">
      <c r="A64" s="24">
        <v>2017</v>
      </c>
      <c r="B64" s="24" t="s">
        <v>22</v>
      </c>
      <c r="C64" s="24" t="s">
        <v>114</v>
      </c>
      <c r="D64" s="24">
        <v>-1.2989999999999999</v>
      </c>
    </row>
    <row r="65" spans="1:4" x14ac:dyDescent="0.2">
      <c r="A65" s="24">
        <v>2016</v>
      </c>
      <c r="B65" s="24" t="s">
        <v>122</v>
      </c>
      <c r="C65" s="24" t="s">
        <v>117</v>
      </c>
      <c r="D65" s="24">
        <v>-0.374</v>
      </c>
    </row>
    <row r="66" spans="1:4" x14ac:dyDescent="0.2">
      <c r="A66" s="24">
        <v>2016</v>
      </c>
      <c r="B66" s="24" t="s">
        <v>22</v>
      </c>
      <c r="C66" s="24" t="s">
        <v>120</v>
      </c>
      <c r="D66" s="24">
        <v>0.93200000000000005</v>
      </c>
    </row>
    <row r="67" spans="1:4" x14ac:dyDescent="0.2">
      <c r="A67" s="24">
        <v>2016</v>
      </c>
      <c r="B67" s="24" t="s">
        <v>24</v>
      </c>
      <c r="C67" s="24" t="s">
        <v>118</v>
      </c>
      <c r="D67" s="24">
        <v>0.245</v>
      </c>
    </row>
    <row r="68" spans="1:4" x14ac:dyDescent="0.2">
      <c r="A68" s="24">
        <v>2016</v>
      </c>
      <c r="B68" s="24" t="s">
        <v>23</v>
      </c>
      <c r="C68" s="24" t="s">
        <v>119</v>
      </c>
      <c r="D68" s="24">
        <v>0.106</v>
      </c>
    </row>
    <row r="69" spans="1:4" x14ac:dyDescent="0.2">
      <c r="A69" s="24">
        <v>2016</v>
      </c>
      <c r="B69" s="24" t="s">
        <v>21</v>
      </c>
      <c r="C69" s="24" t="s">
        <v>111</v>
      </c>
      <c r="D69" s="24">
        <v>-0.14599999999999999</v>
      </c>
    </row>
    <row r="70" spans="1:4" x14ac:dyDescent="0.2">
      <c r="A70" s="24">
        <v>2016</v>
      </c>
      <c r="B70" s="24" t="s">
        <v>26</v>
      </c>
      <c r="C70" s="24" t="s">
        <v>112</v>
      </c>
      <c r="D70" s="24">
        <v>-0.155</v>
      </c>
    </row>
    <row r="71" spans="1:4" x14ac:dyDescent="0.2">
      <c r="A71" s="24">
        <v>2016</v>
      </c>
      <c r="B71" s="24" t="s">
        <v>121</v>
      </c>
      <c r="C71" s="24" t="s">
        <v>113</v>
      </c>
      <c r="D71" s="24">
        <v>1.4999999999999999E-2</v>
      </c>
    </row>
    <row r="72" spans="1:4" x14ac:dyDescent="0.2">
      <c r="A72" s="24">
        <v>2016</v>
      </c>
      <c r="B72" s="24" t="s">
        <v>27</v>
      </c>
      <c r="C72" s="24" t="s">
        <v>114</v>
      </c>
      <c r="D72" s="24">
        <v>-0.64600000000000002</v>
      </c>
    </row>
    <row r="73" spans="1:4" x14ac:dyDescent="0.2">
      <c r="A73" s="24">
        <v>2015</v>
      </c>
      <c r="B73" s="24" t="s">
        <v>20</v>
      </c>
      <c r="C73" s="24" t="s">
        <v>117</v>
      </c>
      <c r="D73" s="24">
        <v>0.70899999999999996</v>
      </c>
    </row>
    <row r="74" spans="1:4" x14ac:dyDescent="0.2">
      <c r="A74" s="24">
        <v>2015</v>
      </c>
      <c r="B74" s="24" t="s">
        <v>22</v>
      </c>
      <c r="C74" s="24" t="s">
        <v>120</v>
      </c>
      <c r="D74" s="24">
        <v>1.0369999999999999</v>
      </c>
    </row>
    <row r="75" spans="1:4" x14ac:dyDescent="0.2">
      <c r="A75" s="24">
        <v>2015</v>
      </c>
      <c r="B75" s="24" t="s">
        <v>25</v>
      </c>
      <c r="C75" s="24" t="s">
        <v>118</v>
      </c>
      <c r="D75" s="24">
        <v>6.2E-2</v>
      </c>
    </row>
    <row r="76" spans="1:4" x14ac:dyDescent="0.2">
      <c r="A76" s="24">
        <v>2015</v>
      </c>
      <c r="B76" s="24" t="s">
        <v>21</v>
      </c>
      <c r="C76" s="24" t="s">
        <v>119</v>
      </c>
      <c r="D76" s="24">
        <v>-4.2999999999999997E-2</v>
      </c>
    </row>
    <row r="77" spans="1:4" x14ac:dyDescent="0.2">
      <c r="A77" s="24">
        <v>2015</v>
      </c>
      <c r="B77" s="24" t="s">
        <v>23</v>
      </c>
      <c r="C77" s="24" t="s">
        <v>111</v>
      </c>
      <c r="D77" s="24">
        <v>0.253</v>
      </c>
    </row>
    <row r="78" spans="1:4" x14ac:dyDescent="0.2">
      <c r="A78" s="24">
        <v>2015</v>
      </c>
      <c r="B78" s="24" t="s">
        <v>24</v>
      </c>
      <c r="C78" s="24" t="s">
        <v>112</v>
      </c>
      <c r="D78" s="24">
        <v>-0.23899999999999999</v>
      </c>
    </row>
    <row r="79" spans="1:4" x14ac:dyDescent="0.2">
      <c r="A79" s="24">
        <v>2015</v>
      </c>
      <c r="B79" s="24" t="s">
        <v>26</v>
      </c>
      <c r="C79" s="24" t="s">
        <v>113</v>
      </c>
      <c r="D79" s="24">
        <v>-4.9000000000000002E-2</v>
      </c>
    </row>
    <row r="80" spans="1:4" x14ac:dyDescent="0.2">
      <c r="A80" s="24">
        <v>2015</v>
      </c>
      <c r="B80" s="24" t="s">
        <v>27</v>
      </c>
      <c r="C80" s="24" t="s">
        <v>114</v>
      </c>
      <c r="D80" s="24">
        <v>-1.4359999999999999</v>
      </c>
    </row>
    <row r="81" spans="1:4" x14ac:dyDescent="0.2">
      <c r="A81" s="24">
        <v>2014</v>
      </c>
      <c r="B81" s="24" t="s">
        <v>27</v>
      </c>
      <c r="C81" s="24" t="s">
        <v>117</v>
      </c>
      <c r="D81" s="24">
        <v>0.96799999999999997</v>
      </c>
    </row>
    <row r="82" spans="1:4" x14ac:dyDescent="0.2">
      <c r="A82" s="24">
        <v>2014</v>
      </c>
      <c r="B82" s="24" t="s">
        <v>23</v>
      </c>
      <c r="C82" s="24" t="s">
        <v>120</v>
      </c>
      <c r="D82" s="24">
        <v>0.41799999999999998</v>
      </c>
    </row>
    <row r="83" spans="1:4" x14ac:dyDescent="0.2">
      <c r="A83" s="24">
        <v>2014</v>
      </c>
      <c r="B83" s="24" t="s">
        <v>20</v>
      </c>
      <c r="C83" s="24" t="s">
        <v>118</v>
      </c>
      <c r="D83" s="24">
        <v>0.38500000000000001</v>
      </c>
    </row>
    <row r="84" spans="1:4" x14ac:dyDescent="0.2">
      <c r="A84" s="24">
        <v>2014</v>
      </c>
      <c r="B84" s="24" t="s">
        <v>21</v>
      </c>
      <c r="C84" s="24" t="s">
        <v>119</v>
      </c>
      <c r="D84" s="24">
        <v>9.5000000000000001E-2</v>
      </c>
    </row>
    <row r="85" spans="1:4" x14ac:dyDescent="0.2">
      <c r="A85" s="24">
        <v>2014</v>
      </c>
      <c r="B85" s="24" t="s">
        <v>25</v>
      </c>
      <c r="C85" s="24" t="s">
        <v>111</v>
      </c>
      <c r="D85" s="24">
        <v>0.06</v>
      </c>
    </row>
    <row r="86" spans="1:4" x14ac:dyDescent="0.2">
      <c r="A86" s="24">
        <v>2014</v>
      </c>
      <c r="B86" s="24" t="s">
        <v>24</v>
      </c>
      <c r="C86" s="24" t="s">
        <v>112</v>
      </c>
      <c r="D86" s="24">
        <v>-0.39900000000000002</v>
      </c>
    </row>
    <row r="87" spans="1:4" x14ac:dyDescent="0.2">
      <c r="A87" s="24">
        <v>2014</v>
      </c>
      <c r="B87" s="24" t="s">
        <v>22</v>
      </c>
      <c r="C87" s="24" t="s">
        <v>113</v>
      </c>
      <c r="D87" s="24">
        <v>-0.42799999999999999</v>
      </c>
    </row>
    <row r="88" spans="1:4" x14ac:dyDescent="0.2">
      <c r="A88" s="24">
        <v>2014</v>
      </c>
      <c r="B88" s="24" t="s">
        <v>26</v>
      </c>
      <c r="C88" s="24" t="s">
        <v>114</v>
      </c>
      <c r="D88" s="24">
        <v>-1.1819999999999999</v>
      </c>
    </row>
    <row r="89" spans="1:4" x14ac:dyDescent="0.2">
      <c r="A89" s="24">
        <v>2013</v>
      </c>
      <c r="B89" s="24" t="s">
        <v>20</v>
      </c>
      <c r="C89" s="24" t="s">
        <v>117</v>
      </c>
      <c r="D89" s="24">
        <v>0.53</v>
      </c>
    </row>
    <row r="90" spans="1:4" x14ac:dyDescent="0.2">
      <c r="A90" s="24">
        <v>2013</v>
      </c>
      <c r="B90" s="24" t="s">
        <v>21</v>
      </c>
      <c r="C90" s="24" t="s">
        <v>120</v>
      </c>
      <c r="D90" s="24">
        <v>0.44</v>
      </c>
    </row>
    <row r="91" spans="1:4" x14ac:dyDescent="0.2">
      <c r="A91" s="24">
        <v>2013</v>
      </c>
      <c r="B91" s="24" t="s">
        <v>25</v>
      </c>
      <c r="C91" s="24" t="s">
        <v>118</v>
      </c>
      <c r="D91" s="24">
        <v>0.32</v>
      </c>
    </row>
    <row r="92" spans="1:4" x14ac:dyDescent="0.2">
      <c r="A92" s="24">
        <v>2013</v>
      </c>
      <c r="B92" s="24" t="s">
        <v>24</v>
      </c>
      <c r="C92" s="24" t="s">
        <v>119</v>
      </c>
      <c r="D92" s="24">
        <v>0</v>
      </c>
    </row>
    <row r="93" spans="1:4" x14ac:dyDescent="0.2">
      <c r="A93" s="24">
        <v>2013</v>
      </c>
      <c r="B93" s="24" t="s">
        <v>22</v>
      </c>
      <c r="C93" s="24" t="s">
        <v>111</v>
      </c>
      <c r="D93" s="24">
        <v>0.46</v>
      </c>
    </row>
    <row r="94" spans="1:4" x14ac:dyDescent="0.2">
      <c r="A94" s="24">
        <v>2013</v>
      </c>
      <c r="B94" s="24" t="s">
        <v>27</v>
      </c>
      <c r="C94" s="24" t="s">
        <v>112</v>
      </c>
      <c r="D94" s="24">
        <v>0.23</v>
      </c>
    </row>
    <row r="95" spans="1:4" x14ac:dyDescent="0.2">
      <c r="A95" s="24">
        <v>2013</v>
      </c>
      <c r="B95" s="24" t="s">
        <v>23</v>
      </c>
      <c r="C95" s="24" t="s">
        <v>113</v>
      </c>
      <c r="D95" s="24">
        <v>-0.1</v>
      </c>
    </row>
    <row r="96" spans="1:4" x14ac:dyDescent="0.2">
      <c r="A96" s="24">
        <v>2013</v>
      </c>
      <c r="B96" s="24" t="s">
        <v>123</v>
      </c>
      <c r="C96" s="24" t="s">
        <v>114</v>
      </c>
      <c r="D96" s="24">
        <v>-1.01</v>
      </c>
    </row>
    <row r="97" spans="1:4" x14ac:dyDescent="0.2">
      <c r="A97" s="24">
        <v>2013</v>
      </c>
      <c r="B97" s="24" t="s">
        <v>26</v>
      </c>
      <c r="C97" s="24" t="s">
        <v>115</v>
      </c>
      <c r="D97" s="24">
        <v>-0.85</v>
      </c>
    </row>
    <row r="98" spans="1:4" x14ac:dyDescent="0.2">
      <c r="A98" s="24">
        <v>2012</v>
      </c>
      <c r="B98" s="24" t="s">
        <v>26</v>
      </c>
      <c r="C98" s="24" t="s">
        <v>117</v>
      </c>
      <c r="D98" s="24">
        <v>0.62</v>
      </c>
    </row>
    <row r="99" spans="1:4" x14ac:dyDescent="0.2">
      <c r="A99" s="24">
        <v>2012</v>
      </c>
      <c r="B99" s="24" t="s">
        <v>23</v>
      </c>
      <c r="C99" s="24" t="s">
        <v>120</v>
      </c>
      <c r="D99" s="24">
        <v>0.56999999999999995</v>
      </c>
    </row>
    <row r="100" spans="1:4" x14ac:dyDescent="0.2">
      <c r="A100" s="24">
        <v>2012</v>
      </c>
      <c r="B100" s="24" t="s">
        <v>21</v>
      </c>
      <c r="C100" s="24" t="s">
        <v>118</v>
      </c>
      <c r="D100" s="24">
        <v>-0.1</v>
      </c>
    </row>
    <row r="101" spans="1:4" x14ac:dyDescent="0.2">
      <c r="A101" s="24">
        <v>2012</v>
      </c>
      <c r="B101" s="24" t="s">
        <v>20</v>
      </c>
      <c r="C101" s="24" t="s">
        <v>119</v>
      </c>
      <c r="D101" s="24">
        <v>0.1</v>
      </c>
    </row>
    <row r="102" spans="1:4" x14ac:dyDescent="0.2">
      <c r="A102" s="24">
        <v>2012</v>
      </c>
      <c r="B102" s="24" t="s">
        <v>22</v>
      </c>
      <c r="C102" s="24" t="s">
        <v>111</v>
      </c>
      <c r="D102" s="24">
        <v>-0.02</v>
      </c>
    </row>
    <row r="103" spans="1:4" x14ac:dyDescent="0.2">
      <c r="A103" s="24">
        <v>2012</v>
      </c>
      <c r="B103" s="24" t="s">
        <v>27</v>
      </c>
      <c r="C103" s="24" t="s">
        <v>112</v>
      </c>
      <c r="D103" s="24">
        <v>-0.22</v>
      </c>
    </row>
    <row r="104" spans="1:4" x14ac:dyDescent="0.2">
      <c r="A104" s="24">
        <v>2012</v>
      </c>
      <c r="B104" s="24" t="s">
        <v>25</v>
      </c>
      <c r="C104" s="24" t="s">
        <v>113</v>
      </c>
      <c r="D104" s="24">
        <v>0.2</v>
      </c>
    </row>
    <row r="105" spans="1:4" x14ac:dyDescent="0.2">
      <c r="A105" s="24">
        <v>2012</v>
      </c>
      <c r="B105" s="24" t="s">
        <v>124</v>
      </c>
      <c r="C105" s="24" t="s">
        <v>114</v>
      </c>
      <c r="D105" s="24">
        <v>-0.51</v>
      </c>
    </row>
    <row r="106" spans="1:4" x14ac:dyDescent="0.2">
      <c r="A106" s="24">
        <v>2012</v>
      </c>
      <c r="B106" s="24" t="s">
        <v>123</v>
      </c>
      <c r="C106" s="24" t="s">
        <v>115</v>
      </c>
      <c r="D106" s="24">
        <v>-0.56000000000000005</v>
      </c>
    </row>
    <row r="107" spans="1:4" x14ac:dyDescent="0.2">
      <c r="A107" s="24">
        <v>2011</v>
      </c>
      <c r="B107" s="24" t="s">
        <v>22</v>
      </c>
      <c r="C107" s="24" t="s">
        <v>117</v>
      </c>
      <c r="D107" s="24">
        <v>0.32</v>
      </c>
    </row>
    <row r="108" spans="1:4" x14ac:dyDescent="0.2">
      <c r="A108" s="24">
        <v>2011</v>
      </c>
      <c r="B108" s="24" t="s">
        <v>20</v>
      </c>
      <c r="C108" s="24" t="s">
        <v>120</v>
      </c>
      <c r="D108" s="24">
        <v>0.44</v>
      </c>
    </row>
    <row r="109" spans="1:4" x14ac:dyDescent="0.2">
      <c r="A109" s="24">
        <v>2011</v>
      </c>
      <c r="B109" s="24" t="s">
        <v>21</v>
      </c>
      <c r="C109" s="24" t="s">
        <v>118</v>
      </c>
      <c r="D109" s="24">
        <v>0.04</v>
      </c>
    </row>
    <row r="110" spans="1:4" x14ac:dyDescent="0.2">
      <c r="A110" s="24">
        <v>2011</v>
      </c>
      <c r="B110" s="24" t="s">
        <v>23</v>
      </c>
      <c r="C110" s="24" t="s">
        <v>119</v>
      </c>
      <c r="D110" s="24">
        <v>0.44</v>
      </c>
    </row>
    <row r="111" spans="1:4" x14ac:dyDescent="0.2">
      <c r="A111" s="24">
        <v>2011</v>
      </c>
      <c r="B111" s="24" t="s">
        <v>27</v>
      </c>
      <c r="C111" s="24" t="s">
        <v>111</v>
      </c>
      <c r="D111" s="24">
        <v>-0.05</v>
      </c>
    </row>
    <row r="112" spans="1:4" x14ac:dyDescent="0.2">
      <c r="A112" s="24">
        <v>2011</v>
      </c>
      <c r="B112" s="24" t="s">
        <v>25</v>
      </c>
      <c r="C112" s="24" t="s">
        <v>112</v>
      </c>
      <c r="D112" s="24">
        <v>-0.69</v>
      </c>
    </row>
    <row r="113" spans="1:4" x14ac:dyDescent="0.2">
      <c r="A113" s="24">
        <v>2011</v>
      </c>
      <c r="B113" s="24" t="s">
        <v>124</v>
      </c>
      <c r="C113" s="24" t="s">
        <v>113</v>
      </c>
      <c r="D113" s="24">
        <v>0.22</v>
      </c>
    </row>
    <row r="114" spans="1:4" x14ac:dyDescent="0.2">
      <c r="A114" s="24">
        <v>2011</v>
      </c>
      <c r="B114" s="24" t="s">
        <v>125</v>
      </c>
      <c r="C114" s="24" t="s">
        <v>114</v>
      </c>
      <c r="D114" s="24">
        <v>-0.21</v>
      </c>
    </row>
    <row r="115" spans="1:4" x14ac:dyDescent="0.2">
      <c r="A115" s="24">
        <v>2011</v>
      </c>
      <c r="B115" s="24" t="s">
        <v>123</v>
      </c>
      <c r="C115" s="24" t="s">
        <v>115</v>
      </c>
      <c r="D115" s="24">
        <v>-0.13</v>
      </c>
    </row>
    <row r="116" spans="1:4" x14ac:dyDescent="0.2">
      <c r="A116" s="24">
        <v>2011</v>
      </c>
      <c r="B116" s="24" t="s">
        <v>26</v>
      </c>
      <c r="C116" s="24" t="s">
        <v>116</v>
      </c>
      <c r="D116" s="24">
        <v>-0.45</v>
      </c>
    </row>
    <row r="117" spans="1:4" x14ac:dyDescent="0.2">
      <c r="A117" s="24">
        <v>2010</v>
      </c>
      <c r="B117" s="24" t="s">
        <v>21</v>
      </c>
      <c r="C117" s="24" t="s">
        <v>117</v>
      </c>
      <c r="D117" s="24">
        <v>1.0840000000000001</v>
      </c>
    </row>
    <row r="118" spans="1:4" x14ac:dyDescent="0.2">
      <c r="A118" s="24">
        <v>2010</v>
      </c>
      <c r="B118" s="24" t="s">
        <v>124</v>
      </c>
      <c r="C118" s="24" t="s">
        <v>120</v>
      </c>
      <c r="D118" s="24">
        <v>-0.29699999999999999</v>
      </c>
    </row>
    <row r="119" spans="1:4" x14ac:dyDescent="0.2">
      <c r="A119" s="24">
        <v>2010</v>
      </c>
      <c r="B119" s="24" t="s">
        <v>20</v>
      </c>
      <c r="C119" s="24" t="s">
        <v>118</v>
      </c>
      <c r="D119" s="24">
        <v>0.27400000000000002</v>
      </c>
    </row>
    <row r="120" spans="1:4" x14ac:dyDescent="0.2">
      <c r="A120" s="24">
        <v>2010</v>
      </c>
      <c r="B120" s="24" t="s">
        <v>22</v>
      </c>
      <c r="C120" s="24" t="s">
        <v>119</v>
      </c>
      <c r="D120" s="24">
        <v>0.219</v>
      </c>
    </row>
    <row r="121" spans="1:4" x14ac:dyDescent="0.2">
      <c r="A121" s="24">
        <v>2010</v>
      </c>
      <c r="B121" s="24" t="s">
        <v>26</v>
      </c>
      <c r="C121" s="24" t="s">
        <v>111</v>
      </c>
      <c r="D121" s="24">
        <v>2.1000000000000001E-2</v>
      </c>
    </row>
    <row r="122" spans="1:4" x14ac:dyDescent="0.2">
      <c r="A122" s="24">
        <v>2010</v>
      </c>
      <c r="B122" s="24" t="s">
        <v>23</v>
      </c>
      <c r="C122" s="24" t="s">
        <v>112</v>
      </c>
      <c r="D122" s="24">
        <v>-0.34100000000000003</v>
      </c>
    </row>
    <row r="123" spans="1:4" x14ac:dyDescent="0.2">
      <c r="A123" s="24">
        <v>2010</v>
      </c>
      <c r="B123" s="24" t="s">
        <v>25</v>
      </c>
      <c r="C123" s="24" t="s">
        <v>113</v>
      </c>
      <c r="D123" s="24">
        <v>-0.51400000000000001</v>
      </c>
    </row>
    <row r="124" spans="1:4" x14ac:dyDescent="0.2">
      <c r="A124" s="24">
        <v>2010</v>
      </c>
      <c r="B124" s="24" t="s">
        <v>27</v>
      </c>
      <c r="C124" s="24" t="s">
        <v>114</v>
      </c>
      <c r="D124" s="24">
        <v>-0.47799999999999998</v>
      </c>
    </row>
    <row r="125" spans="1:4" x14ac:dyDescent="0.2">
      <c r="A125" s="24">
        <v>2009</v>
      </c>
      <c r="B125" s="24" t="s">
        <v>26</v>
      </c>
      <c r="C125" s="24" t="s">
        <v>117</v>
      </c>
      <c r="D125" s="24">
        <v>0.311</v>
      </c>
    </row>
    <row r="126" spans="1:4" x14ac:dyDescent="0.2">
      <c r="A126" s="24">
        <v>2009</v>
      </c>
      <c r="B126" s="24" t="s">
        <v>20</v>
      </c>
      <c r="C126" s="24" t="s">
        <v>120</v>
      </c>
      <c r="D126" s="24">
        <v>0.95099999999999996</v>
      </c>
    </row>
    <row r="127" spans="1:4" x14ac:dyDescent="0.2">
      <c r="A127" s="24">
        <v>2009</v>
      </c>
      <c r="B127" s="24" t="s">
        <v>22</v>
      </c>
      <c r="C127" s="24" t="s">
        <v>118</v>
      </c>
      <c r="D127" s="24">
        <v>-0.191</v>
      </c>
    </row>
    <row r="128" spans="1:4" x14ac:dyDescent="0.2">
      <c r="A128" s="24">
        <v>2009</v>
      </c>
      <c r="B128" s="24" t="s">
        <v>124</v>
      </c>
      <c r="C128" s="24" t="s">
        <v>119</v>
      </c>
      <c r="D128" s="24">
        <v>0.20300000000000001</v>
      </c>
    </row>
    <row r="129" spans="1:4" x14ac:dyDescent="0.2">
      <c r="A129" s="24">
        <v>2009</v>
      </c>
      <c r="B129" s="24" t="s">
        <v>27</v>
      </c>
      <c r="C129" s="24" t="s">
        <v>111</v>
      </c>
      <c r="D129" s="24">
        <v>-0.48299999999999998</v>
      </c>
    </row>
    <row r="130" spans="1:4" x14ac:dyDescent="0.2">
      <c r="A130" s="24">
        <v>2009</v>
      </c>
      <c r="B130" s="24" t="s">
        <v>25</v>
      </c>
      <c r="C130" s="24" t="s">
        <v>112</v>
      </c>
      <c r="D130" s="24">
        <v>-0.35199999999999998</v>
      </c>
    </row>
    <row r="131" spans="1:4" x14ac:dyDescent="0.2">
      <c r="A131" s="24">
        <v>2009</v>
      </c>
      <c r="B131" s="24" t="s">
        <v>21</v>
      </c>
      <c r="C131" s="24" t="s">
        <v>113</v>
      </c>
      <c r="D131" s="24">
        <v>0.29699999999999999</v>
      </c>
    </row>
    <row r="132" spans="1:4" x14ac:dyDescent="0.2">
      <c r="A132" s="24">
        <v>2009</v>
      </c>
      <c r="B132" s="24" t="s">
        <v>23</v>
      </c>
      <c r="C132" s="24" t="s">
        <v>114</v>
      </c>
      <c r="D132" s="24">
        <v>-0.78900000000000003</v>
      </c>
    </row>
  </sheetData>
  <pageMargins left="0.75" right="0.75" top="1" bottom="1" header="0.511811023622047" footer="0.511811023622047"/>
  <pageSetup paperSize="9" orientation="portrait" horizontalDpi="300" verticalDpi="300"/>
  <ignoredErrors>
    <ignoredError sqref="C9:C34 C35:C72 C73:C13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
  <sheetViews>
    <sheetView zoomScaleNormal="100" workbookViewId="0">
      <selection activeCell="G20" sqref="G20"/>
    </sheetView>
  </sheetViews>
  <sheetFormatPr baseColWidth="10" defaultColWidth="8.6640625" defaultRowHeight="15" x14ac:dyDescent="0.2"/>
  <cols>
    <col min="1" max="1" width="45" customWidth="1"/>
    <col min="2" max="2" width="18" customWidth="1"/>
    <col min="3" max="6" width="12" customWidth="1"/>
  </cols>
  <sheetData>
    <row r="1" spans="1:6" ht="20" x14ac:dyDescent="0.2">
      <c r="A1" s="1" t="s">
        <v>126</v>
      </c>
    </row>
    <row r="2" spans="1:6" x14ac:dyDescent="0.2">
      <c r="A2" s="2"/>
    </row>
    <row r="4" spans="1:6" ht="17" x14ac:dyDescent="0.2">
      <c r="A4" s="11" t="s">
        <v>127</v>
      </c>
    </row>
    <row r="6" spans="1:6" x14ac:dyDescent="0.2">
      <c r="A6" s="12" t="s">
        <v>128</v>
      </c>
      <c r="B6" s="12">
        <f>COUNT('Data Dashboard'!$B$5:$B$14)</f>
        <v>10</v>
      </c>
    </row>
    <row r="7" spans="1:6" x14ac:dyDescent="0.2">
      <c r="A7" s="12" t="s">
        <v>129</v>
      </c>
      <c r="B7" s="13">
        <f>AVERAGE('Data Dashboard'!$B$5:$B$14)</f>
        <v>183</v>
      </c>
    </row>
    <row r="8" spans="1:6" x14ac:dyDescent="0.2">
      <c r="A8" s="12" t="s">
        <v>130</v>
      </c>
      <c r="B8" s="13">
        <f>_xlfn.STDEV.S('Data Dashboard'!$B$5:$B$14)</f>
        <v>53.597263611742967</v>
      </c>
    </row>
    <row r="9" spans="1:6" x14ac:dyDescent="0.2">
      <c r="A9" s="12" t="s">
        <v>131</v>
      </c>
      <c r="B9" s="13">
        <f>$B$8/SQRT($B$6)</f>
        <v>16.948942936557035</v>
      </c>
    </row>
    <row r="10" spans="1:6" x14ac:dyDescent="0.2">
      <c r="A10" s="12" t="s">
        <v>132</v>
      </c>
      <c r="B10" s="13">
        <f>_xlfn.CONFIDENCE.T(0.05,$B$8,$B$6)</f>
        <v>38.341172665790545</v>
      </c>
    </row>
    <row r="11" spans="1:6" x14ac:dyDescent="0.2">
      <c r="A11" s="20" t="s">
        <v>133</v>
      </c>
      <c r="B11" s="21">
        <f>$B$7-$B$10</f>
        <v>144.65882733420946</v>
      </c>
    </row>
    <row r="12" spans="1:6" x14ac:dyDescent="0.2">
      <c r="A12" s="20" t="s">
        <v>134</v>
      </c>
      <c r="B12" s="21">
        <f>$B$7+$B$10</f>
        <v>221.34117266579054</v>
      </c>
    </row>
    <row r="14" spans="1:6" ht="17" x14ac:dyDescent="0.2">
      <c r="A14" s="11" t="s">
        <v>135</v>
      </c>
    </row>
    <row r="15" spans="1:6" ht="45" customHeight="1" x14ac:dyDescent="0.2">
      <c r="A15" s="42" t="s">
        <v>136</v>
      </c>
      <c r="B15" s="42"/>
      <c r="C15" s="42"/>
      <c r="D15" s="42"/>
      <c r="E15" s="42"/>
      <c r="F15" s="42"/>
    </row>
    <row r="18" spans="1:6" ht="18" x14ac:dyDescent="0.2">
      <c r="A18" s="25" t="s">
        <v>137</v>
      </c>
    </row>
    <row r="19" spans="1:6" ht="30" customHeight="1" x14ac:dyDescent="0.2">
      <c r="A19" s="45" t="str">
        <f>"If a new franchise is introduced in 2027, we can state with 95% confidence that its baseline brand value will fall between $"&amp;TEXT($B$11,"0")&amp;" Million and $"&amp;TEXT($B$12,"0")&amp;" Million, setting the floor for the BCCI's auction reserve price."</f>
        <v>If a new franchise is introduced in 2027, we can state with 95% confidence that its baseline brand value will fall between $145 Million and $221 Million, setting the floor for the BCCI's auction reserve price.</v>
      </c>
      <c r="B19" s="45"/>
      <c r="C19" s="45"/>
      <c r="D19" s="45"/>
      <c r="E19" s="45"/>
      <c r="F19" s="45"/>
    </row>
    <row r="20" spans="1:6" x14ac:dyDescent="0.2">
      <c r="A20" s="45"/>
      <c r="B20" s="45"/>
      <c r="C20" s="45"/>
      <c r="D20" s="45"/>
      <c r="E20" s="45"/>
      <c r="F20" s="45"/>
    </row>
    <row r="21" spans="1:6" x14ac:dyDescent="0.2">
      <c r="A21" s="45"/>
      <c r="B21" s="45"/>
      <c r="C21" s="45"/>
      <c r="D21" s="45"/>
      <c r="E21" s="45"/>
      <c r="F21" s="45"/>
    </row>
    <row r="23" spans="1:6" ht="45" customHeight="1" x14ac:dyDescent="0.2">
      <c r="A23" s="42" t="s">
        <v>239</v>
      </c>
      <c r="B23" s="42"/>
      <c r="C23" s="42"/>
      <c r="D23" s="42"/>
      <c r="E23" s="42"/>
      <c r="F23" s="42"/>
    </row>
  </sheetData>
  <mergeCells count="3">
    <mergeCell ref="A15:F15"/>
    <mergeCell ref="A19:F21"/>
    <mergeCell ref="A23:F2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7"/>
  <sheetViews>
    <sheetView topLeftCell="A3" zoomScale="150" zoomScaleNormal="100" workbookViewId="0">
      <selection activeCell="A40" sqref="A40"/>
    </sheetView>
  </sheetViews>
  <sheetFormatPr baseColWidth="10" defaultColWidth="8.6640625" defaultRowHeight="15" x14ac:dyDescent="0.2"/>
  <cols>
    <col min="1" max="1" width="46" customWidth="1"/>
    <col min="2" max="3" width="16" customWidth="1"/>
    <col min="4" max="6" width="12" customWidth="1"/>
  </cols>
  <sheetData>
    <row r="1" spans="1:6" ht="20" x14ac:dyDescent="0.2">
      <c r="A1" s="1" t="s">
        <v>138</v>
      </c>
    </row>
    <row r="2" spans="1:6" x14ac:dyDescent="0.2">
      <c r="A2" s="2"/>
    </row>
    <row r="4" spans="1:6" ht="17" x14ac:dyDescent="0.2">
      <c r="A4" s="11" t="s">
        <v>139</v>
      </c>
    </row>
    <row r="5" spans="1:6" x14ac:dyDescent="0.2">
      <c r="A5" s="10" t="s">
        <v>140</v>
      </c>
    </row>
    <row r="6" spans="1:6" x14ac:dyDescent="0.2">
      <c r="A6" s="12" t="s">
        <v>141</v>
      </c>
      <c r="B6" s="12">
        <f>COUNT('Data Dashboard'!$B$5:$B$12)</f>
        <v>8</v>
      </c>
    </row>
    <row r="7" spans="1:6" x14ac:dyDescent="0.2">
      <c r="A7" s="12" t="s">
        <v>142</v>
      </c>
      <c r="B7" s="13">
        <f>AVERAGE('Data Dashboard'!$B$5:$B$12)</f>
        <v>195.75</v>
      </c>
    </row>
    <row r="8" spans="1:6" x14ac:dyDescent="0.2">
      <c r="A8" s="12" t="s">
        <v>143</v>
      </c>
      <c r="B8" s="12">
        <f>COUNT('Data Dashboard'!$B$13:$B$14)</f>
        <v>2</v>
      </c>
    </row>
    <row r="9" spans="1:6" x14ac:dyDescent="0.2">
      <c r="A9" s="12" t="s">
        <v>144</v>
      </c>
      <c r="B9" s="13">
        <f>AVERAGE('Data Dashboard'!$B$13:$B$14)</f>
        <v>132</v>
      </c>
    </row>
    <row r="10" spans="1:6" x14ac:dyDescent="0.2">
      <c r="A10" s="20" t="s">
        <v>240</v>
      </c>
      <c r="B10" s="15">
        <f>_xlfn.T.TEST('Data Dashboard'!$B$5:$B$12,'Data Dashboard'!$B$13:$B$14,2,3)</f>
        <v>1.807080371627736E-2</v>
      </c>
    </row>
    <row r="11" spans="1:6" x14ac:dyDescent="0.2">
      <c r="A11" s="42"/>
      <c r="B11" s="42"/>
      <c r="C11" s="42"/>
      <c r="D11" s="42"/>
      <c r="E11" s="42"/>
      <c r="F11" s="42"/>
    </row>
    <row r="12" spans="1:6" x14ac:dyDescent="0.2">
      <c r="A12" s="20" t="s">
        <v>145</v>
      </c>
      <c r="B12" s="20" t="str">
        <f>IF($B$10&lt;0.05,"Reject H0 (p &lt; 0.05)","Fail to reject H0 (p &gt;= 0.05)")</f>
        <v>Reject H0 (p &lt; 0.05)</v>
      </c>
    </row>
    <row r="13" spans="1:6" ht="30" customHeight="1" x14ac:dyDescent="0.2">
      <c r="A13" s="42" t="s">
        <v>146</v>
      </c>
      <c r="B13" s="42"/>
      <c r="C13" s="42"/>
      <c r="D13" s="42"/>
      <c r="E13" s="42"/>
      <c r="F13" s="42"/>
    </row>
    <row r="16" spans="1:6" ht="17" x14ac:dyDescent="0.2">
      <c r="A16" s="11" t="s">
        <v>147</v>
      </c>
    </row>
    <row r="17" spans="1:6" x14ac:dyDescent="0.2">
      <c r="A17" s="10" t="s">
        <v>148</v>
      </c>
    </row>
    <row r="18" spans="1:6" x14ac:dyDescent="0.2">
      <c r="A18" s="42"/>
      <c r="B18" s="42"/>
      <c r="C18" s="42"/>
      <c r="D18" s="42"/>
      <c r="E18" s="42"/>
      <c r="F18" s="42"/>
    </row>
    <row r="19" spans="1:6" x14ac:dyDescent="0.2">
      <c r="A19" s="12" t="s">
        <v>149</v>
      </c>
      <c r="B19" s="16">
        <f>'Data Dashboard'!G7/100</f>
        <v>0.48249999999999998</v>
      </c>
    </row>
    <row r="20" spans="1:6" x14ac:dyDescent="0.2">
      <c r="A20" s="12" t="s">
        <v>150</v>
      </c>
      <c r="B20" s="14">
        <f>'Data Dashboard'!H7</f>
        <v>228</v>
      </c>
    </row>
    <row r="21" spans="1:6" x14ac:dyDescent="0.2">
      <c r="A21" s="12" t="s">
        <v>151</v>
      </c>
      <c r="B21" s="12">
        <v>0.5</v>
      </c>
    </row>
    <row r="22" spans="1:6" x14ac:dyDescent="0.2">
      <c r="A22" s="12" t="s">
        <v>152</v>
      </c>
      <c r="B22" s="16">
        <f>SQRT($B$21*(1-$B$21)/$B$20)</f>
        <v>3.3113308926626096E-2</v>
      </c>
    </row>
    <row r="23" spans="1:6" x14ac:dyDescent="0.2">
      <c r="A23" s="34" t="s">
        <v>241</v>
      </c>
      <c r="B23" s="16">
        <f>($B$19-$B$21)/$B$22</f>
        <v>-0.5284884104689529</v>
      </c>
    </row>
    <row r="24" spans="1:6" x14ac:dyDescent="0.2">
      <c r="A24" s="20" t="s">
        <v>153</v>
      </c>
      <c r="B24" s="15">
        <f>2*(1-_xlfn.NORM.S.DIST(ABS($B$23),TRUE()))</f>
        <v>0.59716038891328616</v>
      </c>
    </row>
    <row r="25" spans="1:6" x14ac:dyDescent="0.2">
      <c r="A25" s="20" t="s">
        <v>145</v>
      </c>
      <c r="B25" s="20" t="str">
        <f>IF($B$24&lt;0.05,"Reject H0","Fail to reject H0")</f>
        <v>Fail to reject H0</v>
      </c>
    </row>
    <row r="26" spans="1:6" ht="45" customHeight="1" x14ac:dyDescent="0.2">
      <c r="A26" s="42" t="s">
        <v>154</v>
      </c>
      <c r="B26" s="42"/>
      <c r="C26" s="42"/>
      <c r="D26" s="42"/>
      <c r="E26" s="42"/>
      <c r="F26" s="42"/>
    </row>
    <row r="29" spans="1:6" ht="17" x14ac:dyDescent="0.2">
      <c r="A29" s="11" t="s">
        <v>155</v>
      </c>
    </row>
    <row r="30" spans="1:6" x14ac:dyDescent="0.2">
      <c r="A30" s="10" t="s">
        <v>156</v>
      </c>
    </row>
    <row r="31" spans="1:6" x14ac:dyDescent="0.2">
      <c r="A31" s="42"/>
      <c r="B31" s="42"/>
      <c r="C31" s="42"/>
      <c r="D31" s="42"/>
      <c r="E31" s="42"/>
      <c r="F31" s="42"/>
    </row>
    <row r="32" spans="1:6" x14ac:dyDescent="0.2">
      <c r="A32" s="3" t="s">
        <v>157</v>
      </c>
      <c r="B32" s="3" t="s">
        <v>53</v>
      </c>
      <c r="C32" s="3" t="s">
        <v>158</v>
      </c>
    </row>
    <row r="33" spans="1:6" x14ac:dyDescent="0.2">
      <c r="A33" s="4" t="s">
        <v>159</v>
      </c>
      <c r="B33" s="4">
        <f>COUNTIF('Data Dashboard'!$S$5:$S$14,"Zero titles")</f>
        <v>3</v>
      </c>
      <c r="C33" s="35">
        <f>AVERAGEIF('Data Dashboard'!$S$5:$S$14,"Zero titles",'Data Dashboard'!$P$5:$P$14)</f>
        <v>119.73333333333335</v>
      </c>
      <c r="D33" s="36" t="s">
        <v>242</v>
      </c>
    </row>
    <row r="34" spans="1:6" x14ac:dyDescent="0.2">
      <c r="A34" s="4" t="s">
        <v>160</v>
      </c>
      <c r="B34" s="4">
        <f>COUNTIF('Data Dashboard'!$S$5:$S$14,"Single title")</f>
        <v>3</v>
      </c>
      <c r="C34" s="35">
        <f>AVERAGEIF('Data Dashboard'!$S$5:$S$14,"Single title",'Data Dashboard'!$P$5:$P$14)</f>
        <v>119.86666666666667</v>
      </c>
    </row>
    <row r="35" spans="1:6" x14ac:dyDescent="0.2">
      <c r="A35" s="4" t="s">
        <v>161</v>
      </c>
      <c r="B35" s="4">
        <f>COUNTIF('Data Dashboard'!$S$5:$S$14,"Multiple titles")</f>
        <v>4</v>
      </c>
      <c r="C35" s="35">
        <f>AVERAGEIF('Data Dashboard'!$S$5:$S$14,"Multiple titles",'Data Dashboard'!$P$5:$P$14)</f>
        <v>119.85</v>
      </c>
    </row>
    <row r="36" spans="1:6" x14ac:dyDescent="0.2">
      <c r="A36" s="12" t="s">
        <v>162</v>
      </c>
      <c r="B36" s="13">
        <f>AVERAGE('Data Dashboard'!$P$5:$P$14)</f>
        <v>119.82000000000001</v>
      </c>
    </row>
    <row r="37" spans="1:6" x14ac:dyDescent="0.2">
      <c r="A37" s="12" t="s">
        <v>163</v>
      </c>
      <c r="B37" s="12">
        <f>COUNT('Data Dashboard'!$P$5:$P$14)</f>
        <v>10</v>
      </c>
    </row>
    <row r="38" spans="1:6" x14ac:dyDescent="0.2">
      <c r="A38" s="12" t="s">
        <v>164</v>
      </c>
      <c r="B38" s="16">
        <f>B33*(C33-$B$36)^2+B34*(C34-$B$36)^2+B35*(C35-$B$36)^2</f>
        <v>3.2666666666659544E-2</v>
      </c>
    </row>
    <row r="39" spans="1:6" x14ac:dyDescent="0.2">
      <c r="A39" s="12" t="s">
        <v>165</v>
      </c>
      <c r="B39" s="16">
        <f>SUMPRODUCT(('Data Dashboard'!$S$5:$S$14="Zero titles")*('Data Dashboard'!$P$5:$P$14-C33)^2)+SUMPRODUCT(('Data Dashboard'!$S$5:$S$14="Single title")*('Data Dashboard'!$P$5:$P$14-C34)^2)+SUMPRODUCT(('Data Dashboard'!$S$5:$S$14="Multiple titles")*('Data Dashboard'!$P$5:$P$14-C35)^2)</f>
        <v>0.13333333333333619</v>
      </c>
    </row>
    <row r="40" spans="1:6" x14ac:dyDescent="0.2">
      <c r="A40" s="12" t="s">
        <v>166</v>
      </c>
      <c r="B40" s="12">
        <v>2</v>
      </c>
    </row>
    <row r="41" spans="1:6" x14ac:dyDescent="0.2">
      <c r="A41" s="12" t="s">
        <v>167</v>
      </c>
      <c r="B41" s="12">
        <f>$B$37-3</f>
        <v>7</v>
      </c>
    </row>
    <row r="42" spans="1:6" x14ac:dyDescent="0.2">
      <c r="A42" s="12" t="s">
        <v>168</v>
      </c>
      <c r="B42" s="16">
        <f>$B$38/$B$40</f>
        <v>1.6333333333329772E-2</v>
      </c>
    </row>
    <row r="43" spans="1:6" x14ac:dyDescent="0.2">
      <c r="A43" s="12" t="s">
        <v>169</v>
      </c>
      <c r="B43" s="16">
        <f>$B$39/$B$41</f>
        <v>1.9047619047619455E-2</v>
      </c>
    </row>
    <row r="44" spans="1:6" x14ac:dyDescent="0.2">
      <c r="A44" s="20" t="s">
        <v>170</v>
      </c>
      <c r="B44" s="15">
        <f>$B$42/$B$43</f>
        <v>0.85749999999979465</v>
      </c>
    </row>
    <row r="45" spans="1:6" x14ac:dyDescent="0.2">
      <c r="A45" s="20" t="s">
        <v>171</v>
      </c>
      <c r="B45" s="15">
        <f>_xlfn.F.DIST.RT($B$44,$B$40,$B$41)</f>
        <v>0.46441610309386228</v>
      </c>
    </row>
    <row r="46" spans="1:6" x14ac:dyDescent="0.2">
      <c r="A46" s="20" t="s">
        <v>145</v>
      </c>
      <c r="B46" s="20" t="str">
        <f>IF($B$45&lt;0.05,"Reject H0","Fail to reject H0")</f>
        <v>Fail to reject H0</v>
      </c>
    </row>
    <row r="47" spans="1:6" ht="30" customHeight="1" x14ac:dyDescent="0.2">
      <c r="A47" s="42" t="s">
        <v>172</v>
      </c>
      <c r="B47" s="42"/>
      <c r="C47" s="42"/>
      <c r="D47" s="42"/>
      <c r="E47" s="42"/>
      <c r="F47" s="42"/>
    </row>
  </sheetData>
  <mergeCells count="6">
    <mergeCell ref="A47:F47"/>
    <mergeCell ref="A11:F11"/>
    <mergeCell ref="A13:F13"/>
    <mergeCell ref="A18:F18"/>
    <mergeCell ref="A26:F26"/>
    <mergeCell ref="A31:F3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BC00-5168-0748-B84A-F9A23CF16BDB}">
  <dimension ref="A1:F15"/>
  <sheetViews>
    <sheetView workbookViewId="0">
      <selection activeCell="L6" sqref="L6"/>
    </sheetView>
  </sheetViews>
  <sheetFormatPr baseColWidth="10" defaultRowHeight="15" x14ac:dyDescent="0.2"/>
  <sheetData>
    <row r="1" spans="1:6" x14ac:dyDescent="0.2">
      <c r="A1" s="41" t="s">
        <v>244</v>
      </c>
      <c r="B1" s="41"/>
      <c r="C1" s="41" t="s">
        <v>245</v>
      </c>
      <c r="D1" s="41"/>
      <c r="E1" s="41" t="s">
        <v>246</v>
      </c>
      <c r="F1" s="41"/>
    </row>
    <row r="3" spans="1:6" x14ac:dyDescent="0.2">
      <c r="A3" t="s">
        <v>44</v>
      </c>
      <c r="B3">
        <v>53.213000000000001</v>
      </c>
      <c r="C3" t="s">
        <v>44</v>
      </c>
      <c r="D3">
        <v>15.173700000000002</v>
      </c>
      <c r="E3" t="s">
        <v>44</v>
      </c>
      <c r="F3">
        <v>6565454.7999999998</v>
      </c>
    </row>
    <row r="4" spans="1:6" x14ac:dyDescent="0.2">
      <c r="A4" t="s">
        <v>180</v>
      </c>
      <c r="B4">
        <v>2.5549211990457437</v>
      </c>
      <c r="C4" t="s">
        <v>180</v>
      </c>
      <c r="D4">
        <v>3.6520605752856197</v>
      </c>
      <c r="E4" t="s">
        <v>180</v>
      </c>
      <c r="F4">
        <v>1484696.4023815615</v>
      </c>
    </row>
    <row r="5" spans="1:6" x14ac:dyDescent="0.2">
      <c r="A5" t="s">
        <v>45</v>
      </c>
      <c r="B5">
        <v>49.31</v>
      </c>
      <c r="C5" t="s">
        <v>45</v>
      </c>
      <c r="D5">
        <v>9.25</v>
      </c>
      <c r="E5" t="s">
        <v>45</v>
      </c>
      <c r="F5">
        <v>5112336</v>
      </c>
    </row>
    <row r="6" spans="1:6" x14ac:dyDescent="0.2">
      <c r="A6" t="s">
        <v>247</v>
      </c>
      <c r="B6">
        <v>46.49</v>
      </c>
      <c r="C6" t="s">
        <v>247</v>
      </c>
      <c r="D6" t="e">
        <v>#N/A</v>
      </c>
      <c r="E6" t="s">
        <v>247</v>
      </c>
      <c r="F6" t="e">
        <v>#N/A</v>
      </c>
    </row>
    <row r="7" spans="1:6" x14ac:dyDescent="0.2">
      <c r="A7" t="s">
        <v>248</v>
      </c>
      <c r="B7">
        <v>8.0793702312329643</v>
      </c>
      <c r="C7" t="s">
        <v>248</v>
      </c>
      <c r="D7">
        <v>11.548829570807396</v>
      </c>
      <c r="E7" t="s">
        <v>248</v>
      </c>
      <c r="F7">
        <v>4695022.2653835751</v>
      </c>
    </row>
    <row r="8" spans="1:6" x14ac:dyDescent="0.2">
      <c r="A8" t="s">
        <v>249</v>
      </c>
      <c r="B8">
        <v>65.276223333333391</v>
      </c>
      <c r="C8" t="s">
        <v>249</v>
      </c>
      <c r="D8">
        <v>133.37546445555532</v>
      </c>
      <c r="E8" t="s">
        <v>249</v>
      </c>
      <c r="F8">
        <v>22043234072447.516</v>
      </c>
    </row>
    <row r="9" spans="1:6" x14ac:dyDescent="0.2">
      <c r="A9" t="s">
        <v>250</v>
      </c>
      <c r="B9">
        <v>1.7974255745542909</v>
      </c>
      <c r="C9" t="s">
        <v>250</v>
      </c>
      <c r="D9">
        <v>-1.0392909971790716</v>
      </c>
      <c r="E9" t="s">
        <v>250</v>
      </c>
      <c r="F9">
        <v>0.84571780858224788</v>
      </c>
    </row>
    <row r="10" spans="1:6" x14ac:dyDescent="0.2">
      <c r="A10" t="s">
        <v>251</v>
      </c>
      <c r="B10">
        <v>1.4469542822818791</v>
      </c>
      <c r="C10" t="s">
        <v>251</v>
      </c>
      <c r="D10">
        <v>0.94463968264744214</v>
      </c>
      <c r="E10" t="s">
        <v>251</v>
      </c>
      <c r="F10">
        <v>1.1509410346980631</v>
      </c>
    </row>
    <row r="11" spans="1:6" x14ac:dyDescent="0.2">
      <c r="A11" t="s">
        <v>252</v>
      </c>
      <c r="B11">
        <v>24.940000000000005</v>
      </c>
      <c r="C11" t="s">
        <v>252</v>
      </c>
      <c r="D11">
        <v>29.883999999999997</v>
      </c>
      <c r="E11" t="s">
        <v>252</v>
      </c>
      <c r="F11">
        <v>15289156</v>
      </c>
    </row>
    <row r="12" spans="1:6" x14ac:dyDescent="0.2">
      <c r="A12" t="s">
        <v>253</v>
      </c>
      <c r="B12">
        <v>46.49</v>
      </c>
      <c r="C12" t="s">
        <v>253</v>
      </c>
      <c r="D12">
        <v>4.4160000000000004</v>
      </c>
      <c r="E12" t="s">
        <v>253</v>
      </c>
      <c r="F12">
        <v>1025682</v>
      </c>
    </row>
    <row r="13" spans="1:6" x14ac:dyDescent="0.2">
      <c r="A13" t="s">
        <v>254</v>
      </c>
      <c r="B13">
        <v>71.430000000000007</v>
      </c>
      <c r="C13" t="s">
        <v>254</v>
      </c>
      <c r="D13">
        <v>34.299999999999997</v>
      </c>
      <c r="E13" t="s">
        <v>254</v>
      </c>
      <c r="F13">
        <v>16314838</v>
      </c>
    </row>
    <row r="14" spans="1:6" x14ac:dyDescent="0.2">
      <c r="A14" t="s">
        <v>255</v>
      </c>
      <c r="B14">
        <v>532.13</v>
      </c>
      <c r="C14" t="s">
        <v>255</v>
      </c>
      <c r="D14">
        <v>151.73700000000002</v>
      </c>
      <c r="E14" t="s">
        <v>255</v>
      </c>
      <c r="F14">
        <v>65654548</v>
      </c>
    </row>
    <row r="15" spans="1:6" ht="16" thickBot="1" x14ac:dyDescent="0.25">
      <c r="A15" s="40" t="s">
        <v>256</v>
      </c>
      <c r="B15" s="40">
        <v>10</v>
      </c>
      <c r="C15" s="40" t="s">
        <v>256</v>
      </c>
      <c r="D15" s="40">
        <v>10</v>
      </c>
      <c r="E15" s="40" t="s">
        <v>256</v>
      </c>
      <c r="F15" s="40">
        <v>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42"/>
  <sheetViews>
    <sheetView tabSelected="1" topLeftCell="A27" zoomScaleNormal="100" workbookViewId="0">
      <selection activeCell="C32" sqref="C32"/>
    </sheetView>
  </sheetViews>
  <sheetFormatPr baseColWidth="10" defaultColWidth="8.6640625" defaultRowHeight="15" x14ac:dyDescent="0.2"/>
  <cols>
    <col min="1" max="1" width="46" customWidth="1"/>
    <col min="2" max="5" width="18" customWidth="1"/>
    <col min="6" max="6" width="20" customWidth="1"/>
  </cols>
  <sheetData>
    <row r="1" spans="1:6" ht="20" x14ac:dyDescent="0.2">
      <c r="A1" s="1" t="s">
        <v>173</v>
      </c>
    </row>
    <row r="2" spans="1:6" x14ac:dyDescent="0.2">
      <c r="A2" s="2"/>
    </row>
    <row r="4" spans="1:6" ht="17" x14ac:dyDescent="0.2">
      <c r="A4" s="11" t="s">
        <v>174</v>
      </c>
    </row>
    <row r="5" spans="1:6" x14ac:dyDescent="0.2">
      <c r="A5" s="10" t="s">
        <v>175</v>
      </c>
    </row>
    <row r="6" spans="1:6" x14ac:dyDescent="0.2">
      <c r="A6" s="20" t="s">
        <v>176</v>
      </c>
      <c r="B6" s="3" t="s">
        <v>177</v>
      </c>
      <c r="C6" s="3" t="s">
        <v>178</v>
      </c>
    </row>
    <row r="7" spans="1:6" x14ac:dyDescent="0.2">
      <c r="A7" s="4" t="s">
        <v>179</v>
      </c>
      <c r="B7" s="26">
        <f t="array" ref="B7:C11">LINEST('Data Dashboard'!$B$5:$B$14,'Data Dashboard'!$D$5:$D$14,TRUE(),TRUE())</f>
        <v>22.380952380952376</v>
      </c>
      <c r="C7" s="26">
        <v>142.71428571428572</v>
      </c>
    </row>
    <row r="8" spans="1:6" x14ac:dyDescent="0.2">
      <c r="A8" s="4" t="s">
        <v>180</v>
      </c>
      <c r="B8" s="26">
        <v>5.793932777438692</v>
      </c>
      <c r="C8" s="26">
        <v>14.884882814270245</v>
      </c>
    </row>
    <row r="9" spans="1:6" x14ac:dyDescent="0.2">
      <c r="A9" s="4" t="s">
        <v>181</v>
      </c>
      <c r="B9" s="26">
        <v>0.6509815189323197</v>
      </c>
      <c r="C9" s="26">
        <v>33.584825087983944</v>
      </c>
    </row>
    <row r="10" spans="1:6" x14ac:dyDescent="0.2">
      <c r="A10" s="4" t="s">
        <v>182</v>
      </c>
      <c r="B10" s="26">
        <v>14.921422314162992</v>
      </c>
      <c r="C10" s="26">
        <v>8</v>
      </c>
    </row>
    <row r="11" spans="1:6" x14ac:dyDescent="0.2">
      <c r="A11" s="4" t="s">
        <v>183</v>
      </c>
      <c r="B11" s="26">
        <v>16830.476190476194</v>
      </c>
      <c r="C11" s="26">
        <v>9023.5238095238055</v>
      </c>
    </row>
    <row r="13" spans="1:6" x14ac:dyDescent="0.2">
      <c r="A13" s="20" t="s">
        <v>184</v>
      </c>
      <c r="B13" s="15">
        <f>B9</f>
        <v>0.6509815189323197</v>
      </c>
    </row>
    <row r="15" spans="1:6" ht="17" x14ac:dyDescent="0.2">
      <c r="A15" s="11" t="s">
        <v>185</v>
      </c>
    </row>
    <row r="16" spans="1:6" x14ac:dyDescent="0.2">
      <c r="A16" s="42"/>
      <c r="B16" s="42"/>
      <c r="C16" s="42"/>
      <c r="D16" s="42"/>
      <c r="E16" s="42"/>
      <c r="F16" s="42"/>
    </row>
    <row r="17" spans="1:6" x14ac:dyDescent="0.2">
      <c r="A17" s="3" t="s">
        <v>1</v>
      </c>
      <c r="B17" s="3" t="s">
        <v>186</v>
      </c>
      <c r="C17" s="3" t="s">
        <v>187</v>
      </c>
      <c r="D17" s="3" t="s">
        <v>62</v>
      </c>
      <c r="F17" s="3" t="s">
        <v>2</v>
      </c>
    </row>
    <row r="18" spans="1:6" x14ac:dyDescent="0.2">
      <c r="A18" s="27" t="str">
        <f>'Data Dashboard'!A5</f>
        <v>Chennai Super Kings</v>
      </c>
      <c r="B18" s="39">
        <f>'Data Dashboard'!G5</f>
        <v>57</v>
      </c>
      <c r="C18" s="38">
        <f>'Data Dashboard'!O5</f>
        <v>34.299999999999997</v>
      </c>
      <c r="D18" s="30">
        <f>'Data Dashboard'!L5</f>
        <v>4646732</v>
      </c>
      <c r="F18" s="5">
        <v>235</v>
      </c>
    </row>
    <row r="19" spans="1:6" x14ac:dyDescent="0.2">
      <c r="A19" s="27" t="str">
        <f>'Data Dashboard'!A6</f>
        <v>Mumbai Indians</v>
      </c>
      <c r="B19" s="28">
        <f>'Data Dashboard'!G6</f>
        <v>55.7</v>
      </c>
      <c r="C19" s="29">
        <f>'Data Dashboard'!O6</f>
        <v>28.2</v>
      </c>
      <c r="D19" s="30">
        <f>'Data Dashboard'!L6</f>
        <v>12442373</v>
      </c>
      <c r="F19" s="5">
        <v>242</v>
      </c>
    </row>
    <row r="20" spans="1:6" x14ac:dyDescent="0.2">
      <c r="A20" s="27" t="str">
        <f>'Data Dashboard'!A7</f>
        <v>Royal Challengers Bengaluru</v>
      </c>
      <c r="B20" s="28">
        <f>'Data Dashboard'!G7</f>
        <v>48.25</v>
      </c>
      <c r="C20" s="29">
        <f>'Data Dashboard'!O7</f>
        <v>31.799999999999997</v>
      </c>
      <c r="D20" s="30">
        <f>'Data Dashboard'!L7</f>
        <v>8443675</v>
      </c>
      <c r="F20" s="5">
        <v>269</v>
      </c>
    </row>
    <row r="21" spans="1:6" x14ac:dyDescent="0.2">
      <c r="A21" s="27" t="str">
        <f>'Data Dashboard'!A8</f>
        <v>Kolkata Knight Riders</v>
      </c>
      <c r="B21" s="28">
        <f>'Data Dashboard'!G8</f>
        <v>49.12</v>
      </c>
      <c r="C21" s="29">
        <f>'Data Dashboard'!O8</f>
        <v>13.2</v>
      </c>
      <c r="D21" s="30">
        <f>'Data Dashboard'!L8</f>
        <v>4496694</v>
      </c>
      <c r="F21" s="5">
        <v>227</v>
      </c>
    </row>
    <row r="22" spans="1:6" x14ac:dyDescent="0.2">
      <c r="A22" s="27" t="str">
        <f>'Data Dashboard'!A9</f>
        <v>Sunrisers Hyderabad</v>
      </c>
      <c r="B22" s="28">
        <f>'Data Dashboard'!G9</f>
        <v>47.44</v>
      </c>
      <c r="C22" s="29">
        <f>'Data Dashboard'!O9</f>
        <v>9.1</v>
      </c>
      <c r="D22" s="30">
        <f>'Data Dashboard'!L9</f>
        <v>6731790</v>
      </c>
      <c r="F22" s="5">
        <v>154</v>
      </c>
    </row>
    <row r="23" spans="1:6" x14ac:dyDescent="0.2">
      <c r="A23" s="27" t="str">
        <f>'Data Dashboard'!A10</f>
        <v>Rajasthan Royals</v>
      </c>
      <c r="B23" s="28">
        <f>'Data Dashboard'!G10</f>
        <v>49.5</v>
      </c>
      <c r="C23" s="29">
        <f>'Data Dashboard'!O10</f>
        <v>9.4</v>
      </c>
      <c r="D23" s="30">
        <f>'Data Dashboard'!L10</f>
        <v>3073350</v>
      </c>
      <c r="F23" s="5">
        <v>146</v>
      </c>
    </row>
    <row r="24" spans="1:6" x14ac:dyDescent="0.2">
      <c r="A24" s="27" t="str">
        <f>'Data Dashboard'!A11</f>
        <v>Delhi Capitals</v>
      </c>
      <c r="B24" s="28">
        <f>'Data Dashboard'!G11</f>
        <v>46.49</v>
      </c>
      <c r="C24" s="29">
        <f>'Data Dashboard'!O11</f>
        <v>7.3000000000000007</v>
      </c>
      <c r="D24" s="37">
        <f>'Data Dashboard'!L11</f>
        <v>16314838</v>
      </c>
      <c r="F24" s="5">
        <v>152</v>
      </c>
    </row>
    <row r="25" spans="1:6" x14ac:dyDescent="0.2">
      <c r="A25" s="27" t="str">
        <f>'Data Dashboard'!A12</f>
        <v>Punjab Kings</v>
      </c>
      <c r="B25" s="28">
        <f>'Data Dashboard'!G12</f>
        <v>46.49</v>
      </c>
      <c r="C25" s="29">
        <f>'Data Dashboard'!O12</f>
        <v>8.3000000000000007</v>
      </c>
      <c r="D25" s="30">
        <f>'Data Dashboard'!L12</f>
        <v>1025682</v>
      </c>
      <c r="F25" s="5">
        <v>141</v>
      </c>
    </row>
    <row r="26" spans="1:6" x14ac:dyDescent="0.2">
      <c r="A26" s="27" t="str">
        <f>'Data Dashboard'!A13</f>
        <v>Gujarat Titans</v>
      </c>
      <c r="B26" s="35">
        <f>'Data Dashboard'!G13</f>
        <v>71.430000000000007</v>
      </c>
      <c r="C26" s="29">
        <f>'Data Dashboard'!O13</f>
        <v>5.7210000000000001</v>
      </c>
      <c r="D26" s="30">
        <f>'Data Dashboard'!L13</f>
        <v>5577940</v>
      </c>
      <c r="F26" s="5">
        <v>142</v>
      </c>
    </row>
    <row r="27" spans="1:6" x14ac:dyDescent="0.2">
      <c r="A27" s="27" t="str">
        <f>'Data Dashboard'!A14</f>
        <v>Lucknow Super Giants</v>
      </c>
      <c r="B27" s="28">
        <f>'Data Dashboard'!G14</f>
        <v>60.71</v>
      </c>
      <c r="C27" s="29">
        <f>'Data Dashboard'!O14</f>
        <v>4.4160000000000004</v>
      </c>
      <c r="D27" s="30">
        <f>'Data Dashboard'!L14</f>
        <v>2901474</v>
      </c>
      <c r="F27" s="5">
        <v>122</v>
      </c>
    </row>
    <row r="29" spans="1:6" x14ac:dyDescent="0.2">
      <c r="A29" s="10"/>
    </row>
    <row r="30" spans="1:6" x14ac:dyDescent="0.2">
      <c r="B30" s="3" t="s">
        <v>188</v>
      </c>
      <c r="C30" s="3" t="s">
        <v>189</v>
      </c>
      <c r="D30" s="3" t="s">
        <v>190</v>
      </c>
      <c r="E30" s="3" t="s">
        <v>178</v>
      </c>
    </row>
    <row r="31" spans="1:6" x14ac:dyDescent="0.2">
      <c r="A31" s="4" t="s">
        <v>179</v>
      </c>
      <c r="B31" s="26">
        <f t="array" ref="B31:E35">LINEST('Data Dashboard'!$B$5:$B$14,B18:D27,TRUE(),TRUE())</f>
        <v>8.7606893335944365E-7</v>
      </c>
      <c r="C31" s="26">
        <v>4.1165218090893534</v>
      </c>
      <c r="D31" s="26">
        <v>-0.59311121352709162</v>
      </c>
      <c r="E31" s="26">
        <v>146.34656904718236</v>
      </c>
    </row>
    <row r="32" spans="1:6" x14ac:dyDescent="0.2">
      <c r="A32" s="4" t="s">
        <v>180</v>
      </c>
      <c r="B32" s="26">
        <v>1.9017512075937355E-6</v>
      </c>
      <c r="C32" s="26">
        <v>0.76536304262995736</v>
      </c>
      <c r="D32" s="26">
        <v>1.082985452149837</v>
      </c>
      <c r="E32" s="26">
        <v>62.417961508424469</v>
      </c>
    </row>
    <row r="33" spans="1:6" x14ac:dyDescent="0.2">
      <c r="A33" s="4" t="s">
        <v>181</v>
      </c>
      <c r="B33" s="26">
        <v>0.84462117394287795</v>
      </c>
      <c r="C33" s="26">
        <v>25.875226790892853</v>
      </c>
      <c r="D33" s="26" t="e">
        <v>#N/A</v>
      </c>
      <c r="E33" s="26" t="e">
        <v>#N/A</v>
      </c>
    </row>
    <row r="34" spans="1:6" x14ac:dyDescent="0.2">
      <c r="A34" s="4" t="s">
        <v>182</v>
      </c>
      <c r="B34" s="26">
        <v>10.871766705617517</v>
      </c>
      <c r="C34" s="26">
        <v>6</v>
      </c>
      <c r="D34" s="26" t="e">
        <v>#N/A</v>
      </c>
      <c r="E34" s="26" t="e">
        <v>#N/A</v>
      </c>
    </row>
    <row r="35" spans="1:6" x14ac:dyDescent="0.2">
      <c r="A35" s="4" t="s">
        <v>183</v>
      </c>
      <c r="B35" s="26">
        <v>21836.835831119166</v>
      </c>
      <c r="C35" s="26">
        <v>4017.1641688808354</v>
      </c>
      <c r="D35" s="26" t="e">
        <v>#N/A</v>
      </c>
      <c r="E35" s="26" t="e">
        <v>#N/A</v>
      </c>
    </row>
    <row r="36" spans="1:6" x14ac:dyDescent="0.2">
      <c r="A36" s="42"/>
      <c r="B36" s="42"/>
      <c r="C36" s="42"/>
      <c r="D36" s="42"/>
      <c r="E36" s="42"/>
      <c r="F36" s="42"/>
    </row>
    <row r="37" spans="1:6" x14ac:dyDescent="0.2">
      <c r="A37" s="20" t="s">
        <v>191</v>
      </c>
      <c r="B37" s="15">
        <f>B33</f>
        <v>0.84462117394287795</v>
      </c>
    </row>
    <row r="38" spans="1:6" ht="17" x14ac:dyDescent="0.2">
      <c r="A38" s="11" t="s">
        <v>192</v>
      </c>
    </row>
    <row r="39" spans="1:6" ht="27.75" customHeight="1" x14ac:dyDescent="0.2">
      <c r="A39" s="42"/>
      <c r="B39" s="42"/>
      <c r="C39" s="42"/>
      <c r="D39" s="42"/>
      <c r="E39" s="42"/>
      <c r="F39" s="42"/>
    </row>
    <row r="41" spans="1:6" x14ac:dyDescent="0.2">
      <c r="A41" s="20" t="s">
        <v>193</v>
      </c>
    </row>
    <row r="42" spans="1:6" x14ac:dyDescent="0.2">
      <c r="A42" s="31" t="s">
        <v>1</v>
      </c>
      <c r="B42" s="3" t="s">
        <v>194</v>
      </c>
    </row>
    <row r="43" spans="1:6" x14ac:dyDescent="0.2">
      <c r="A43" s="27" t="str">
        <f>'Data Dashboard'!A5</f>
        <v>Chennai Super Kings</v>
      </c>
      <c r="B43" s="28">
        <f>'Data Dashboard'!K5</f>
        <v>91.53</v>
      </c>
    </row>
    <row r="44" spans="1:6" x14ac:dyDescent="0.2">
      <c r="A44" s="27" t="str">
        <f>'Data Dashboard'!A6</f>
        <v>Mumbai Indians</v>
      </c>
      <c r="B44" s="28">
        <f>'Data Dashboard'!K6</f>
        <v>162.44</v>
      </c>
    </row>
    <row r="45" spans="1:6" x14ac:dyDescent="0.2">
      <c r="A45" s="27" t="str">
        <f>'Data Dashboard'!A7</f>
        <v>Royal Challengers Bengaluru</v>
      </c>
      <c r="B45" s="28">
        <f>'Data Dashboard'!K7</f>
        <v>112.42</v>
      </c>
    </row>
    <row r="46" spans="1:6" x14ac:dyDescent="0.2">
      <c r="A46" s="27" t="str">
        <f>'Data Dashboard'!A8</f>
        <v>Kolkata Knight Riders</v>
      </c>
      <c r="B46" s="28">
        <f>'Data Dashboard'!K8</f>
        <v>75.209999999999994</v>
      </c>
    </row>
    <row r="47" spans="1:6" x14ac:dyDescent="0.2">
      <c r="A47" s="27" t="str">
        <f>'Data Dashboard'!A9</f>
        <v>Sunrisers Hyderabad</v>
      </c>
      <c r="B47" s="28">
        <f>'Data Dashboard'!K9</f>
        <v>80.06</v>
      </c>
    </row>
    <row r="48" spans="1:6" x14ac:dyDescent="0.2">
      <c r="A48" s="27" t="str">
        <f>'Data Dashboard'!A10</f>
        <v>Rajasthan Royals</v>
      </c>
      <c r="B48" s="28">
        <f>'Data Dashboard'!K10</f>
        <v>18.13</v>
      </c>
    </row>
    <row r="49" spans="1:8" x14ac:dyDescent="0.2">
      <c r="A49" s="27" t="str">
        <f>'Data Dashboard'!A11</f>
        <v>Delhi Capitals</v>
      </c>
      <c r="B49" s="28">
        <f>'Data Dashboard'!K11</f>
        <v>186.14</v>
      </c>
    </row>
    <row r="50" spans="1:8" x14ac:dyDescent="0.2">
      <c r="A50" s="27" t="str">
        <f>'Data Dashboard'!A12</f>
        <v>Punjab Kings</v>
      </c>
      <c r="B50" s="28">
        <f>'Data Dashboard'!K12</f>
        <v>11.7</v>
      </c>
    </row>
    <row r="51" spans="1:8" x14ac:dyDescent="0.2">
      <c r="A51" s="27" t="str">
        <f>'Data Dashboard'!A13</f>
        <v>Gujarat Titans</v>
      </c>
      <c r="B51" s="28">
        <f>'Data Dashboard'!K13</f>
        <v>67.28</v>
      </c>
    </row>
    <row r="52" spans="1:8" x14ac:dyDescent="0.2">
      <c r="A52" s="27" t="str">
        <f>'Data Dashboard'!A14</f>
        <v>Lucknow Super Giants</v>
      </c>
      <c r="B52" s="28">
        <f>'Data Dashboard'!K14</f>
        <v>10.92</v>
      </c>
    </row>
    <row r="54" spans="1:8" x14ac:dyDescent="0.2">
      <c r="A54" s="10"/>
    </row>
    <row r="55" spans="1:8" x14ac:dyDescent="0.2">
      <c r="B55" s="3" t="s">
        <v>195</v>
      </c>
      <c r="C55" s="3" t="s">
        <v>178</v>
      </c>
      <c r="E55" cm="1">
        <f t="array" ref="E55:H59">LINEST(F18:F27,B18:D27,TRUE,TRUE)</f>
        <v>8.7606893335944365E-7</v>
      </c>
      <c r="F55">
        <v>4.1165218090893534</v>
      </c>
      <c r="G55">
        <v>-0.59311121352709162</v>
      </c>
      <c r="H55">
        <v>146.34656904718236</v>
      </c>
    </row>
    <row r="56" spans="1:8" x14ac:dyDescent="0.2">
      <c r="A56" s="4" t="s">
        <v>179</v>
      </c>
      <c r="B56" s="26">
        <f t="array" ref="B56:C60">LINEST('Data Dashboard'!$B$5:$B$14,B43:B52,TRUE(),TRUE())</f>
        <v>0.4481706180010841</v>
      </c>
      <c r="C56" s="26">
        <v>146.43689647161756</v>
      </c>
      <c r="E56">
        <v>1.9017512075937355E-6</v>
      </c>
      <c r="F56">
        <v>0.76536304262995736</v>
      </c>
      <c r="G56">
        <v>1.082985452149837</v>
      </c>
      <c r="H56">
        <v>62.417961508424469</v>
      </c>
    </row>
    <row r="57" spans="1:8" x14ac:dyDescent="0.2">
      <c r="A57" s="4" t="s">
        <v>180</v>
      </c>
      <c r="B57" s="26">
        <v>0.27168398312875808</v>
      </c>
      <c r="C57" s="26">
        <v>27.063383736344029</v>
      </c>
      <c r="E57">
        <v>0.84462117394287795</v>
      </c>
      <c r="F57">
        <v>25.875226790892853</v>
      </c>
      <c r="G57" t="e">
        <v>#N/A</v>
      </c>
      <c r="H57" t="e">
        <v>#N/A</v>
      </c>
    </row>
    <row r="58" spans="1:8" x14ac:dyDescent="0.2">
      <c r="A58" s="4" t="s">
        <v>181</v>
      </c>
      <c r="B58" s="26">
        <v>0.25381409867199251</v>
      </c>
      <c r="C58" s="26">
        <v>49.106886346181511</v>
      </c>
      <c r="E58">
        <v>10.871766705617517</v>
      </c>
      <c r="F58">
        <v>6</v>
      </c>
      <c r="G58" t="e">
        <v>#N/A</v>
      </c>
      <c r="H58" t="e">
        <v>#N/A</v>
      </c>
    </row>
    <row r="59" spans="1:8" x14ac:dyDescent="0.2">
      <c r="A59" s="4" t="s">
        <v>182</v>
      </c>
      <c r="B59" s="26">
        <v>2.7211888964428046</v>
      </c>
      <c r="C59" s="26">
        <v>8</v>
      </c>
      <c r="E59">
        <v>21836.835831119166</v>
      </c>
      <c r="F59">
        <v>4017.1641688808354</v>
      </c>
      <c r="G59" t="e">
        <v>#N/A</v>
      </c>
      <c r="H59" t="e">
        <v>#N/A</v>
      </c>
    </row>
    <row r="60" spans="1:8" x14ac:dyDescent="0.2">
      <c r="A60" s="4" t="s">
        <v>183</v>
      </c>
      <c r="B60" s="26">
        <v>6562.1097070656942</v>
      </c>
      <c r="C60" s="26">
        <v>19291.890292934306</v>
      </c>
    </row>
    <row r="62" spans="1:8" x14ac:dyDescent="0.2">
      <c r="A62" s="20" t="s">
        <v>196</v>
      </c>
      <c r="B62" s="15">
        <f>B58</f>
        <v>0.25381409867199251</v>
      </c>
    </row>
    <row r="64" spans="1:8" x14ac:dyDescent="0.2">
      <c r="A64" s="20" t="s">
        <v>197</v>
      </c>
    </row>
    <row r="65" spans="1:5" x14ac:dyDescent="0.2">
      <c r="A65" s="31" t="s">
        <v>1</v>
      </c>
      <c r="B65" s="3" t="s">
        <v>194</v>
      </c>
      <c r="C65" s="3" t="s">
        <v>186</v>
      </c>
      <c r="D65" s="3" t="s">
        <v>4</v>
      </c>
    </row>
    <row r="66" spans="1:5" x14ac:dyDescent="0.2">
      <c r="A66" s="27" t="str">
        <f>'Data Dashboard'!A5</f>
        <v>Chennai Super Kings</v>
      </c>
      <c r="B66" s="28">
        <f>'Data Dashboard'!K5</f>
        <v>91.53</v>
      </c>
      <c r="C66" s="28">
        <f>'Data Dashboard'!G5</f>
        <v>57</v>
      </c>
      <c r="D66" s="32">
        <f>'Data Dashboard'!D5</f>
        <v>5</v>
      </c>
    </row>
    <row r="67" spans="1:5" x14ac:dyDescent="0.2">
      <c r="A67" s="27" t="str">
        <f>'Data Dashboard'!A6</f>
        <v>Mumbai Indians</v>
      </c>
      <c r="B67" s="28">
        <f>'Data Dashboard'!K6</f>
        <v>162.44</v>
      </c>
      <c r="C67" s="28">
        <f>'Data Dashboard'!G6</f>
        <v>55.7</v>
      </c>
      <c r="D67" s="32">
        <f>'Data Dashboard'!D6</f>
        <v>5</v>
      </c>
    </row>
    <row r="68" spans="1:5" x14ac:dyDescent="0.2">
      <c r="A68" s="27" t="str">
        <f>'Data Dashboard'!A7</f>
        <v>Royal Challengers Bengaluru</v>
      </c>
      <c r="B68" s="28">
        <f>'Data Dashboard'!K7</f>
        <v>112.42</v>
      </c>
      <c r="C68" s="28">
        <f>'Data Dashboard'!G7</f>
        <v>48.25</v>
      </c>
      <c r="D68" s="32">
        <f>'Data Dashboard'!D7</f>
        <v>2</v>
      </c>
    </row>
    <row r="69" spans="1:5" x14ac:dyDescent="0.2">
      <c r="A69" s="27" t="str">
        <f>'Data Dashboard'!A8</f>
        <v>Kolkata Knight Riders</v>
      </c>
      <c r="B69" s="28">
        <f>'Data Dashboard'!K8</f>
        <v>75.209999999999994</v>
      </c>
      <c r="C69" s="28">
        <f>'Data Dashboard'!G8</f>
        <v>49.12</v>
      </c>
      <c r="D69" s="32">
        <f>'Data Dashboard'!D8</f>
        <v>3</v>
      </c>
    </row>
    <row r="70" spans="1:5" x14ac:dyDescent="0.2">
      <c r="A70" s="27" t="str">
        <f>'Data Dashboard'!A9</f>
        <v>Sunrisers Hyderabad</v>
      </c>
      <c r="B70" s="28">
        <f>'Data Dashboard'!K9</f>
        <v>80.06</v>
      </c>
      <c r="C70" s="28">
        <f>'Data Dashboard'!G9</f>
        <v>47.44</v>
      </c>
      <c r="D70" s="32">
        <f>'Data Dashboard'!D9</f>
        <v>1</v>
      </c>
    </row>
    <row r="71" spans="1:5" x14ac:dyDescent="0.2">
      <c r="A71" s="27" t="str">
        <f>'Data Dashboard'!A10</f>
        <v>Rajasthan Royals</v>
      </c>
      <c r="B71" s="28">
        <f>'Data Dashboard'!K10</f>
        <v>18.13</v>
      </c>
      <c r="C71" s="28">
        <f>'Data Dashboard'!G10</f>
        <v>49.5</v>
      </c>
      <c r="D71" s="32">
        <f>'Data Dashboard'!D10</f>
        <v>1</v>
      </c>
    </row>
    <row r="72" spans="1:5" x14ac:dyDescent="0.2">
      <c r="A72" s="27" t="str">
        <f>'Data Dashboard'!A11</f>
        <v>Delhi Capitals</v>
      </c>
      <c r="B72" s="28">
        <f>'Data Dashboard'!K11</f>
        <v>186.14</v>
      </c>
      <c r="C72" s="28">
        <f>'Data Dashboard'!G11</f>
        <v>46.49</v>
      </c>
      <c r="D72" s="32">
        <f>'Data Dashboard'!D11</f>
        <v>0</v>
      </c>
    </row>
    <row r="73" spans="1:5" x14ac:dyDescent="0.2">
      <c r="A73" s="27" t="str">
        <f>'Data Dashboard'!A12</f>
        <v>Punjab Kings</v>
      </c>
      <c r="B73" s="28">
        <f>'Data Dashboard'!K12</f>
        <v>11.7</v>
      </c>
      <c r="C73" s="28">
        <f>'Data Dashboard'!G12</f>
        <v>46.49</v>
      </c>
      <c r="D73" s="32">
        <f>'Data Dashboard'!D12</f>
        <v>0</v>
      </c>
    </row>
    <row r="74" spans="1:5" x14ac:dyDescent="0.2">
      <c r="A74" s="27" t="str">
        <f>'Data Dashboard'!A13</f>
        <v>Gujarat Titans</v>
      </c>
      <c r="B74" s="28">
        <f>'Data Dashboard'!K13</f>
        <v>67.28</v>
      </c>
      <c r="C74" s="28">
        <f>'Data Dashboard'!G13</f>
        <v>71.430000000000007</v>
      </c>
      <c r="D74" s="32">
        <f>'Data Dashboard'!D13</f>
        <v>1</v>
      </c>
    </row>
    <row r="75" spans="1:5" x14ac:dyDescent="0.2">
      <c r="A75" s="27" t="str">
        <f>'Data Dashboard'!A14</f>
        <v>Lucknow Super Giants</v>
      </c>
      <c r="B75" s="28">
        <f>'Data Dashboard'!K14</f>
        <v>10.92</v>
      </c>
      <c r="C75" s="28">
        <f>'Data Dashboard'!G14</f>
        <v>60.71</v>
      </c>
      <c r="D75" s="32">
        <f>'Data Dashboard'!D14</f>
        <v>0</v>
      </c>
    </row>
    <row r="77" spans="1:5" x14ac:dyDescent="0.2">
      <c r="A77" s="10"/>
    </row>
    <row r="78" spans="1:5" x14ac:dyDescent="0.2">
      <c r="B78" s="3" t="s">
        <v>198</v>
      </c>
      <c r="C78" s="3" t="s">
        <v>190</v>
      </c>
      <c r="D78" s="3" t="s">
        <v>195</v>
      </c>
      <c r="E78" s="3" t="s">
        <v>178</v>
      </c>
    </row>
    <row r="79" spans="1:5" x14ac:dyDescent="0.2">
      <c r="A79" s="4" t="s">
        <v>179</v>
      </c>
      <c r="B79" s="26">
        <f t="array" ref="B79:E83">LINEST('Data Dashboard'!$B$5:$B$14,B66:D75,TRUE(),TRUE())</f>
        <v>21.518112418760282</v>
      </c>
      <c r="C79" s="26">
        <v>-1.6403517998058943</v>
      </c>
      <c r="D79" s="26">
        <v>0.1398219933547909</v>
      </c>
      <c r="E79" s="26">
        <v>220.14834028543865</v>
      </c>
    </row>
    <row r="80" spans="1:5" x14ac:dyDescent="0.2">
      <c r="A80" s="4" t="s">
        <v>180</v>
      </c>
      <c r="B80" s="26">
        <v>6.3391869788352189</v>
      </c>
      <c r="C80" s="26">
        <v>1.4069979902836969</v>
      </c>
      <c r="D80" s="26">
        <v>0.20401824555422968</v>
      </c>
      <c r="E80" s="26">
        <v>78.495353152257266</v>
      </c>
    </row>
    <row r="81" spans="1:5" x14ac:dyDescent="0.2">
      <c r="A81" s="4" t="s">
        <v>181</v>
      </c>
      <c r="B81" s="26">
        <v>0.74769972685697483</v>
      </c>
      <c r="C81" s="26">
        <v>32.972137889031323</v>
      </c>
      <c r="D81" s="26" t="e">
        <v>#N/A</v>
      </c>
      <c r="E81" s="26" t="e">
        <v>#N/A</v>
      </c>
    </row>
    <row r="82" spans="1:5" x14ac:dyDescent="0.2">
      <c r="A82" s="4" t="s">
        <v>182</v>
      </c>
      <c r="B82" s="26">
        <v>5.9270623653515866</v>
      </c>
      <c r="C82" s="26">
        <v>6</v>
      </c>
      <c r="D82" s="26" t="e">
        <v>#N/A</v>
      </c>
      <c r="E82" s="26" t="e">
        <v>#N/A</v>
      </c>
    </row>
    <row r="83" spans="1:5" x14ac:dyDescent="0.2">
      <c r="A83" s="4" t="s">
        <v>183</v>
      </c>
      <c r="B83" s="26">
        <v>19331.028738160228</v>
      </c>
      <c r="C83" s="26">
        <v>6522.9712618397716</v>
      </c>
      <c r="D83" s="26" t="e">
        <v>#N/A</v>
      </c>
      <c r="E83" s="26" t="e">
        <v>#N/A</v>
      </c>
    </row>
    <row r="85" spans="1:5" x14ac:dyDescent="0.2">
      <c r="A85" s="20" t="s">
        <v>199</v>
      </c>
      <c r="B85" s="15">
        <f>B81</f>
        <v>0.74769972685697483</v>
      </c>
    </row>
    <row r="86" spans="1:5" x14ac:dyDescent="0.2">
      <c r="A86" s="20" t="s">
        <v>200</v>
      </c>
      <c r="B86" s="15">
        <f>B85-B62</f>
        <v>0.49388562818498233</v>
      </c>
    </row>
    <row r="88" spans="1:5" x14ac:dyDescent="0.2">
      <c r="A88" s="20" t="s">
        <v>201</v>
      </c>
    </row>
    <row r="89" spans="1:5" x14ac:dyDescent="0.2">
      <c r="A89" s="31" t="s">
        <v>1</v>
      </c>
      <c r="B89" s="3" t="s">
        <v>194</v>
      </c>
      <c r="C89" s="3" t="s">
        <v>186</v>
      </c>
      <c r="D89" s="3" t="s">
        <v>4</v>
      </c>
      <c r="E89" s="3" t="s">
        <v>187</v>
      </c>
    </row>
    <row r="90" spans="1:5" x14ac:dyDescent="0.2">
      <c r="A90" s="27" t="str">
        <f>'Data Dashboard'!A5</f>
        <v>Chennai Super Kings</v>
      </c>
      <c r="B90" s="28">
        <f>'Data Dashboard'!K5</f>
        <v>91.53</v>
      </c>
      <c r="C90" s="28">
        <f>'Data Dashboard'!G5</f>
        <v>57</v>
      </c>
      <c r="D90" s="32">
        <f>'Data Dashboard'!D5</f>
        <v>5</v>
      </c>
      <c r="E90" s="29">
        <f>'Data Dashboard'!O5</f>
        <v>34.299999999999997</v>
      </c>
    </row>
    <row r="91" spans="1:5" x14ac:dyDescent="0.2">
      <c r="A91" s="27" t="str">
        <f>'Data Dashboard'!A6</f>
        <v>Mumbai Indians</v>
      </c>
      <c r="B91" s="28">
        <f>'Data Dashboard'!K6</f>
        <v>162.44</v>
      </c>
      <c r="C91" s="28">
        <f>'Data Dashboard'!G6</f>
        <v>55.7</v>
      </c>
      <c r="D91" s="32">
        <f>'Data Dashboard'!D6</f>
        <v>5</v>
      </c>
      <c r="E91" s="29">
        <f>'Data Dashboard'!O6</f>
        <v>28.2</v>
      </c>
    </row>
    <row r="92" spans="1:5" x14ac:dyDescent="0.2">
      <c r="A92" s="27" t="str">
        <f>'Data Dashboard'!A7</f>
        <v>Royal Challengers Bengaluru</v>
      </c>
      <c r="B92" s="28">
        <f>'Data Dashboard'!K7</f>
        <v>112.42</v>
      </c>
      <c r="C92" s="28">
        <f>'Data Dashboard'!G7</f>
        <v>48.25</v>
      </c>
      <c r="D92" s="32">
        <f>'Data Dashboard'!D7</f>
        <v>2</v>
      </c>
      <c r="E92" s="29">
        <f>'Data Dashboard'!O7</f>
        <v>31.799999999999997</v>
      </c>
    </row>
    <row r="93" spans="1:5" x14ac:dyDescent="0.2">
      <c r="A93" s="27" t="str">
        <f>'Data Dashboard'!A8</f>
        <v>Kolkata Knight Riders</v>
      </c>
      <c r="B93" s="28">
        <f>'Data Dashboard'!K8</f>
        <v>75.209999999999994</v>
      </c>
      <c r="C93" s="28">
        <f>'Data Dashboard'!G8</f>
        <v>49.12</v>
      </c>
      <c r="D93" s="32">
        <f>'Data Dashboard'!D8</f>
        <v>3</v>
      </c>
      <c r="E93" s="29">
        <f>'Data Dashboard'!O8</f>
        <v>13.2</v>
      </c>
    </row>
    <row r="94" spans="1:5" x14ac:dyDescent="0.2">
      <c r="A94" s="27" t="str">
        <f>'Data Dashboard'!A9</f>
        <v>Sunrisers Hyderabad</v>
      </c>
      <c r="B94" s="28">
        <f>'Data Dashboard'!K9</f>
        <v>80.06</v>
      </c>
      <c r="C94" s="28">
        <f>'Data Dashboard'!G9</f>
        <v>47.44</v>
      </c>
      <c r="D94" s="32">
        <f>'Data Dashboard'!D9</f>
        <v>1</v>
      </c>
      <c r="E94" s="29">
        <f>'Data Dashboard'!O9</f>
        <v>9.1</v>
      </c>
    </row>
    <row r="95" spans="1:5" x14ac:dyDescent="0.2">
      <c r="A95" s="27" t="str">
        <f>'Data Dashboard'!A10</f>
        <v>Rajasthan Royals</v>
      </c>
      <c r="B95" s="28">
        <f>'Data Dashboard'!K10</f>
        <v>18.13</v>
      </c>
      <c r="C95" s="28">
        <f>'Data Dashboard'!G10</f>
        <v>49.5</v>
      </c>
      <c r="D95" s="32">
        <f>'Data Dashboard'!D10</f>
        <v>1</v>
      </c>
      <c r="E95" s="29">
        <f>'Data Dashboard'!O10</f>
        <v>9.4</v>
      </c>
    </row>
    <row r="96" spans="1:5" x14ac:dyDescent="0.2">
      <c r="A96" s="27" t="str">
        <f>'Data Dashboard'!A11</f>
        <v>Delhi Capitals</v>
      </c>
      <c r="B96" s="28">
        <f>'Data Dashboard'!K11</f>
        <v>186.14</v>
      </c>
      <c r="C96" s="28">
        <f>'Data Dashboard'!G11</f>
        <v>46.49</v>
      </c>
      <c r="D96" s="32">
        <f>'Data Dashboard'!D11</f>
        <v>0</v>
      </c>
      <c r="E96" s="29">
        <f>'Data Dashboard'!O11</f>
        <v>7.3000000000000007</v>
      </c>
    </row>
    <row r="97" spans="1:6" x14ac:dyDescent="0.2">
      <c r="A97" s="27" t="str">
        <f>'Data Dashboard'!A12</f>
        <v>Punjab Kings</v>
      </c>
      <c r="B97" s="28">
        <f>'Data Dashboard'!K12</f>
        <v>11.7</v>
      </c>
      <c r="C97" s="28">
        <f>'Data Dashboard'!G12</f>
        <v>46.49</v>
      </c>
      <c r="D97" s="32">
        <f>'Data Dashboard'!D12</f>
        <v>0</v>
      </c>
      <c r="E97" s="29">
        <f>'Data Dashboard'!O12</f>
        <v>8.3000000000000007</v>
      </c>
    </row>
    <row r="98" spans="1:6" x14ac:dyDescent="0.2">
      <c r="A98" s="27" t="str">
        <f>'Data Dashboard'!A13</f>
        <v>Gujarat Titans</v>
      </c>
      <c r="B98" s="28">
        <f>'Data Dashboard'!K13</f>
        <v>67.28</v>
      </c>
      <c r="C98" s="28">
        <f>'Data Dashboard'!G13</f>
        <v>71.430000000000007</v>
      </c>
      <c r="D98" s="32">
        <f>'Data Dashboard'!D13</f>
        <v>1</v>
      </c>
      <c r="E98" s="29">
        <f>'Data Dashboard'!O13</f>
        <v>5.7210000000000001</v>
      </c>
    </row>
    <row r="99" spans="1:6" x14ac:dyDescent="0.2">
      <c r="A99" s="27" t="str">
        <f>'Data Dashboard'!A14</f>
        <v>Lucknow Super Giants</v>
      </c>
      <c r="B99" s="28">
        <f>'Data Dashboard'!K14</f>
        <v>10.92</v>
      </c>
      <c r="C99" s="28">
        <f>'Data Dashboard'!G14</f>
        <v>60.71</v>
      </c>
      <c r="D99" s="32">
        <f>'Data Dashboard'!D14</f>
        <v>0</v>
      </c>
      <c r="E99" s="29">
        <f>'Data Dashboard'!O14</f>
        <v>4.4160000000000004</v>
      </c>
    </row>
    <row r="101" spans="1:6" x14ac:dyDescent="0.2">
      <c r="A101" s="10"/>
    </row>
    <row r="102" spans="1:6" x14ac:dyDescent="0.2">
      <c r="B102" s="3" t="s">
        <v>202</v>
      </c>
      <c r="C102" s="3" t="s">
        <v>198</v>
      </c>
      <c r="D102" s="3" t="s">
        <v>190</v>
      </c>
      <c r="E102" s="3" t="s">
        <v>195</v>
      </c>
      <c r="F102" s="3" t="s">
        <v>178</v>
      </c>
    </row>
    <row r="103" spans="1:6" x14ac:dyDescent="0.2">
      <c r="A103" s="4" t="s">
        <v>179</v>
      </c>
      <c r="B103" s="26">
        <f t="array" ref="B103:F107">LINEST('Data Dashboard'!$B$5:$B$14,B90:E99,TRUE(),TRUE())</f>
        <v>3.0688494481660058</v>
      </c>
      <c r="C103" s="26">
        <v>6.443950746869934</v>
      </c>
      <c r="D103" s="26">
        <v>-0.88364051662102405</v>
      </c>
      <c r="E103" s="26">
        <v>9.448924311146123E-2</v>
      </c>
      <c r="F103" s="26">
        <v>164.14753467418981</v>
      </c>
    </row>
    <row r="104" spans="1:6" x14ac:dyDescent="0.2">
      <c r="A104" s="4" t="s">
        <v>180</v>
      </c>
      <c r="B104" s="26">
        <v>1.4606039097509325</v>
      </c>
      <c r="C104" s="26">
        <v>8.7797278747887582</v>
      </c>
      <c r="D104" s="26">
        <v>1.1795591276565507</v>
      </c>
      <c r="E104" s="26">
        <v>0.16429431061923397</v>
      </c>
      <c r="F104" s="26">
        <v>68.097040692927479</v>
      </c>
    </row>
    <row r="105" spans="1:6" x14ac:dyDescent="0.2">
      <c r="A105" s="4" t="s">
        <v>181</v>
      </c>
      <c r="B105" s="26">
        <v>0.8660051063470543</v>
      </c>
      <c r="C105" s="26">
        <v>26.322249069953184</v>
      </c>
      <c r="D105" s="26" t="e">
        <v>#N/A</v>
      </c>
      <c r="E105" s="26" t="e">
        <v>#N/A</v>
      </c>
      <c r="F105" s="26" t="e">
        <v>#N/A</v>
      </c>
    </row>
    <row r="106" spans="1:6" x14ac:dyDescent="0.2">
      <c r="A106" s="4" t="s">
        <v>182</v>
      </c>
      <c r="B106" s="26">
        <v>8.078713698878488</v>
      </c>
      <c r="C106" s="26">
        <v>5</v>
      </c>
      <c r="D106" s="26" t="e">
        <v>#N/A</v>
      </c>
      <c r="E106" s="26" t="e">
        <v>#N/A</v>
      </c>
      <c r="F106" s="26" t="e">
        <v>#N/A</v>
      </c>
    </row>
    <row r="107" spans="1:6" x14ac:dyDescent="0.2">
      <c r="A107" s="4" t="s">
        <v>183</v>
      </c>
      <c r="B107" s="26">
        <v>22389.696019496743</v>
      </c>
      <c r="C107" s="26">
        <v>3464.3039805032558</v>
      </c>
      <c r="D107" s="26" t="e">
        <v>#N/A</v>
      </c>
      <c r="E107" s="26" t="e">
        <v>#N/A</v>
      </c>
      <c r="F107" s="26" t="e">
        <v>#N/A</v>
      </c>
    </row>
    <row r="109" spans="1:6" x14ac:dyDescent="0.2">
      <c r="A109" s="20" t="s">
        <v>203</v>
      </c>
      <c r="B109" s="15">
        <f>B105</f>
        <v>0.8660051063470543</v>
      </c>
    </row>
    <row r="110" spans="1:6" x14ac:dyDescent="0.2">
      <c r="A110" s="20" t="s">
        <v>204</v>
      </c>
      <c r="B110" s="15">
        <f>B109-B85</f>
        <v>0.11830537949007947</v>
      </c>
    </row>
    <row r="112" spans="1:6" ht="54.75" customHeight="1" x14ac:dyDescent="0.2">
      <c r="A112" s="43" t="s">
        <v>205</v>
      </c>
      <c r="B112" s="43"/>
      <c r="C112" s="43"/>
      <c r="D112" s="43"/>
      <c r="E112" s="43"/>
      <c r="F112" s="43"/>
    </row>
    <row r="115" spans="1:6" ht="17" x14ac:dyDescent="0.2">
      <c r="A115" s="11" t="s">
        <v>206</v>
      </c>
    </row>
    <row r="116" spans="1:6" x14ac:dyDescent="0.2">
      <c r="A116" s="42"/>
      <c r="B116" s="42"/>
      <c r="C116" s="42"/>
      <c r="D116" s="42"/>
      <c r="E116" s="42"/>
      <c r="F116" s="42"/>
    </row>
    <row r="117" spans="1:6" x14ac:dyDescent="0.2">
      <c r="A117" s="3" t="s">
        <v>1</v>
      </c>
      <c r="B117" s="3" t="s">
        <v>207</v>
      </c>
      <c r="C117" s="3" t="s">
        <v>208</v>
      </c>
      <c r="D117" s="3" t="s">
        <v>209</v>
      </c>
      <c r="E117" s="3" t="s">
        <v>210</v>
      </c>
      <c r="F117" s="3" t="s">
        <v>211</v>
      </c>
    </row>
    <row r="118" spans="1:6" x14ac:dyDescent="0.2">
      <c r="A118" s="27" t="str">
        <f>'Data Dashboard'!A5</f>
        <v>Chennai Super Kings</v>
      </c>
      <c r="B118" s="26">
        <f>('Data Dashboard'!B5-AVERAGE('Data Dashboard'!$B$5:$B$14))/_xlfn.STDEV.S('Data Dashboard'!$B$5:$B$14)</f>
        <v>0.97019878433881446</v>
      </c>
      <c r="C118" s="26">
        <f>('Data Dashboard'!K5-AVERAGE('Data Dashboard'!$K$5:$K$14))/_xlfn.STDEV.S('Data Dashboard'!$K$5:$K$14)</f>
        <v>0.165095414182693</v>
      </c>
      <c r="D118" s="26">
        <f>('Data Dashboard'!G5-AVERAGE('Data Dashboard'!$G$5:$G$14))/_xlfn.STDEV.S('Data Dashboard'!$G$5:$G$14)</f>
        <v>0.468724651998288</v>
      </c>
      <c r="E118" s="26">
        <f>('Data Dashboard'!D5-AVERAGE('Data Dashboard'!$D$5:$D$14))/_xlfn.STDEV.S('Data Dashboard'!$D$5:$D$14)</f>
        <v>1.6561573424216502</v>
      </c>
      <c r="F118" s="26">
        <f>('Data Dashboard'!O5-AVERAGE('Data Dashboard'!$O$5:$O$14))/_xlfn.STDEV.S('Data Dashboard'!$O$5:$O$14)</f>
        <v>1.6561245347620837</v>
      </c>
    </row>
    <row r="119" spans="1:6" x14ac:dyDescent="0.2">
      <c r="A119" s="27" t="str">
        <f>'Data Dashboard'!A6</f>
        <v>Mumbai Indians</v>
      </c>
      <c r="B119" s="26">
        <f>('Data Dashboard'!B6-AVERAGE('Data Dashboard'!$B$5:$B$14))/_xlfn.STDEV.S('Data Dashboard'!$B$5:$B$14)</f>
        <v>1.1008024668459624</v>
      </c>
      <c r="C119" s="26">
        <f>('Data Dashboard'!K6-AVERAGE('Data Dashboard'!$K$5:$K$14))/_xlfn.STDEV.S('Data Dashboard'!$K$5:$K$14)</f>
        <v>1.3420247214808489</v>
      </c>
      <c r="D119" s="26">
        <f>('Data Dashboard'!G6-AVERAGE('Data Dashboard'!$G$5:$G$14))/_xlfn.STDEV.S('Data Dashboard'!$G$5:$G$14)</f>
        <v>0.3078210217902676</v>
      </c>
      <c r="E119" s="26">
        <f>('Data Dashboard'!D6-AVERAGE('Data Dashboard'!$D$5:$D$14))/_xlfn.STDEV.S('Data Dashboard'!$D$5:$D$14)</f>
        <v>1.6561573424216502</v>
      </c>
      <c r="F119" s="26">
        <f>('Data Dashboard'!O6-AVERAGE('Data Dashboard'!$O$5:$O$14))/_xlfn.STDEV.S('Data Dashboard'!$O$5:$O$14)</f>
        <v>1.1279324818271874</v>
      </c>
    </row>
    <row r="120" spans="1:6" x14ac:dyDescent="0.2">
      <c r="A120" s="27" t="str">
        <f>'Data Dashboard'!A7</f>
        <v>Royal Challengers Bengaluru</v>
      </c>
      <c r="B120" s="26">
        <f>('Data Dashboard'!B7-AVERAGE('Data Dashboard'!$B$5:$B$14))/_xlfn.STDEV.S('Data Dashboard'!$B$5:$B$14)</f>
        <v>1.6045595279449623</v>
      </c>
      <c r="C120" s="26">
        <f>('Data Dashboard'!K7-AVERAGE('Data Dashboard'!$K$5:$K$14))/_xlfn.STDEV.S('Data Dashboard'!$K$5:$K$14)</f>
        <v>0.51181736072702355</v>
      </c>
      <c r="D120" s="26">
        <f>('Data Dashboard'!G7-AVERAGE('Data Dashboard'!$G$5:$G$14))/_xlfn.STDEV.S('Data Dashboard'!$G$5:$G$14)</f>
        <v>-0.61428055132492854</v>
      </c>
      <c r="E120" s="26">
        <f>('Data Dashboard'!D7-AVERAGE('Data Dashboard'!$D$5:$D$14))/_xlfn.STDEV.S('Data Dashboard'!$D$5:$D$14)</f>
        <v>0.10350983390135311</v>
      </c>
      <c r="F120" s="26">
        <f>('Data Dashboard'!O7-AVERAGE('Data Dashboard'!$O$5:$O$14))/_xlfn.STDEV.S('Data Dashboard'!$O$5:$O$14)</f>
        <v>1.439652381919913</v>
      </c>
    </row>
    <row r="121" spans="1:6" x14ac:dyDescent="0.2">
      <c r="A121" s="27" t="str">
        <f>'Data Dashboard'!A8</f>
        <v>Kolkata Knight Riders</v>
      </c>
      <c r="B121" s="26">
        <f>('Data Dashboard'!B8-AVERAGE('Data Dashboard'!$B$5:$B$14))/_xlfn.STDEV.S('Data Dashboard'!$B$5:$B$14)</f>
        <v>0.82093743290207377</v>
      </c>
      <c r="C121" s="26">
        <f>('Data Dashboard'!K8-AVERAGE('Data Dashboard'!$K$5:$K$14))/_xlfn.STDEV.S('Data Dashboard'!$K$5:$K$14)</f>
        <v>-0.10577591983374918</v>
      </c>
      <c r="D121" s="26">
        <f>('Data Dashboard'!G8-AVERAGE('Data Dashboard'!$G$5:$G$14))/_xlfn.STDEV.S('Data Dashboard'!$G$5:$G$14)</f>
        <v>-0.50659889110879197</v>
      </c>
      <c r="E121" s="26">
        <f>('Data Dashboard'!D8-AVERAGE('Data Dashboard'!$D$5:$D$14))/_xlfn.STDEV.S('Data Dashboard'!$D$5:$D$14)</f>
        <v>0.62105900340811881</v>
      </c>
      <c r="F121" s="26">
        <f>('Data Dashboard'!O8-AVERAGE('Data Dashboard'!$O$5:$O$14))/_xlfn.STDEV.S('Data Dashboard'!$O$5:$O$14)</f>
        <v>-0.1709004352258372</v>
      </c>
    </row>
    <row r="122" spans="1:6" x14ac:dyDescent="0.2">
      <c r="A122" s="27" t="str">
        <f>'Data Dashboard'!A9</f>
        <v>Sunrisers Hyderabad</v>
      </c>
      <c r="B122" s="26">
        <f>('Data Dashboard'!B9-AVERAGE('Data Dashboard'!$B$5:$B$14))/_xlfn.STDEV.S('Data Dashboard'!$B$5:$B$14)</f>
        <v>-0.54107239895818493</v>
      </c>
      <c r="C122" s="26">
        <f>('Data Dashboard'!K9-AVERAGE('Data Dashboard'!$K$5:$K$14))/_xlfn.STDEV.S('Data Dashboard'!$K$5:$K$14)</f>
        <v>-2.5278005006558836E-2</v>
      </c>
      <c r="D122" s="26">
        <f>('Data Dashboard'!G9-AVERAGE('Data Dashboard'!$G$5:$G$14))/_xlfn.STDEV.S('Data Dashboard'!$G$5:$G$14)</f>
        <v>-0.71453589014684948</v>
      </c>
      <c r="E122" s="26">
        <f>('Data Dashboard'!D9-AVERAGE('Data Dashboard'!$D$5:$D$14))/_xlfn.STDEV.S('Data Dashboard'!$D$5:$D$14)</f>
        <v>-0.41403933560541256</v>
      </c>
      <c r="F122" s="26">
        <f>('Data Dashboard'!O9-AVERAGE('Data Dashboard'!$O$5:$O$14))/_xlfn.STDEV.S('Data Dashboard'!$O$5:$O$14)</f>
        <v>-0.52591476588699726</v>
      </c>
    </row>
    <row r="123" spans="1:6" x14ac:dyDescent="0.2">
      <c r="A123" s="27" t="str">
        <f>'Data Dashboard'!A10</f>
        <v>Rajasthan Royals</v>
      </c>
      <c r="B123" s="26">
        <f>('Data Dashboard'!B10-AVERAGE('Data Dashboard'!$B$5:$B$14))/_xlfn.STDEV.S('Data Dashboard'!$B$5:$B$14)</f>
        <v>-0.69033375039492562</v>
      </c>
      <c r="C123" s="26">
        <f>('Data Dashboard'!K10-AVERAGE('Data Dashboard'!$K$5:$K$14))/_xlfn.STDEV.S('Data Dashboard'!$K$5:$K$14)</f>
        <v>-1.0531616885628248</v>
      </c>
      <c r="D123" s="26">
        <f>('Data Dashboard'!G10-AVERAGE('Data Dashboard'!$G$5:$G$14))/_xlfn.STDEV.S('Data Dashboard'!$G$5:$G$14)</f>
        <v>-0.4595655222787548</v>
      </c>
      <c r="E123" s="26">
        <f>('Data Dashboard'!D10-AVERAGE('Data Dashboard'!$D$5:$D$14))/_xlfn.STDEV.S('Data Dashboard'!$D$5:$D$14)</f>
        <v>-0.41403933560541256</v>
      </c>
      <c r="F123" s="26">
        <f>('Data Dashboard'!O10-AVERAGE('Data Dashboard'!$O$5:$O$14))/_xlfn.STDEV.S('Data Dashboard'!$O$5:$O$14)</f>
        <v>-0.49993810754593671</v>
      </c>
    </row>
    <row r="124" spans="1:6" x14ac:dyDescent="0.2">
      <c r="A124" s="27" t="str">
        <f>'Data Dashboard'!A11</f>
        <v>Delhi Capitals</v>
      </c>
      <c r="B124" s="26">
        <f>('Data Dashboard'!B11-AVERAGE('Data Dashboard'!$B$5:$B$14))/_xlfn.STDEV.S('Data Dashboard'!$B$5:$B$14)</f>
        <v>-0.5783877368173701</v>
      </c>
      <c r="C124" s="26">
        <f>('Data Dashboard'!K11-AVERAGE('Data Dashboard'!$K$5:$K$14))/_xlfn.STDEV.S('Data Dashboard'!$K$5:$K$14)</f>
        <v>1.7353856661003142</v>
      </c>
      <c r="D124" s="26">
        <f>('Data Dashboard'!G11-AVERAGE('Data Dashboard'!$G$5:$G$14))/_xlfn.STDEV.S('Data Dashboard'!$G$5:$G$14)</f>
        <v>-0.83211931222194102</v>
      </c>
      <c r="E124" s="26">
        <f>('Data Dashboard'!D11-AVERAGE('Data Dashboard'!$D$5:$D$14))/_xlfn.STDEV.S('Data Dashboard'!$D$5:$D$14)</f>
        <v>-0.93158850511217828</v>
      </c>
      <c r="F124" s="26">
        <f>('Data Dashboard'!O11-AVERAGE('Data Dashboard'!$O$5:$O$14))/_xlfn.STDEV.S('Data Dashboard'!$O$5:$O$14)</f>
        <v>-0.68177471593336014</v>
      </c>
    </row>
    <row r="125" spans="1:6" x14ac:dyDescent="0.2">
      <c r="A125" s="27" t="str">
        <f>'Data Dashboard'!A12</f>
        <v>Punjab Kings</v>
      </c>
      <c r="B125" s="26">
        <f>('Data Dashboard'!B12-AVERAGE('Data Dashboard'!$B$5:$B$14))/_xlfn.STDEV.S('Data Dashboard'!$B$5:$B$14)</f>
        <v>-0.7836220950428886</v>
      </c>
      <c r="C125" s="26">
        <f>('Data Dashboard'!K12-AVERAGE('Data Dashboard'!$K$5:$K$14))/_xlfn.STDEV.S('Data Dashboard'!$K$5:$K$14)</f>
        <v>-1.1598836663646457</v>
      </c>
      <c r="D125" s="26">
        <f>('Data Dashboard'!G12-AVERAGE('Data Dashboard'!$G$5:$G$14))/_xlfn.STDEV.S('Data Dashboard'!$G$5:$G$14)</f>
        <v>-0.83211931222194102</v>
      </c>
      <c r="E125" s="26">
        <f>('Data Dashboard'!D12-AVERAGE('Data Dashboard'!$D$5:$D$14))/_xlfn.STDEV.S('Data Dashboard'!$D$5:$D$14)</f>
        <v>-0.93158850511217828</v>
      </c>
      <c r="F125" s="26">
        <f>('Data Dashboard'!O12-AVERAGE('Data Dashboard'!$O$5:$O$14))/_xlfn.STDEV.S('Data Dashboard'!$O$5:$O$14)</f>
        <v>-0.59518585479649178</v>
      </c>
    </row>
    <row r="126" spans="1:6" x14ac:dyDescent="0.2">
      <c r="A126" s="27" t="str">
        <f>'Data Dashboard'!A13</f>
        <v>Gujarat Titans</v>
      </c>
      <c r="B126" s="26">
        <f>('Data Dashboard'!B13-AVERAGE('Data Dashboard'!$B$5:$B$14))/_xlfn.STDEV.S('Data Dashboard'!$B$5:$B$14)</f>
        <v>-0.76496442611329596</v>
      </c>
      <c r="C126" s="26">
        <f>('Data Dashboard'!K13-AVERAGE('Data Dashboard'!$K$5:$K$14))/_xlfn.STDEV.S('Data Dashboard'!$K$5:$K$14)</f>
        <v>-0.23739415995325797</v>
      </c>
      <c r="D126" s="26">
        <f>('Data Dashboard'!G13-AVERAGE('Data Dashboard'!$G$5:$G$14))/_xlfn.STDEV.S('Data Dashboard'!$G$5:$G$14)</f>
        <v>2.2547549473073194</v>
      </c>
      <c r="E126" s="26">
        <f>('Data Dashboard'!D13-AVERAGE('Data Dashboard'!$D$5:$D$14))/_xlfn.STDEV.S('Data Dashboard'!$D$5:$D$14)</f>
        <v>-0.41403933560541256</v>
      </c>
      <c r="F126" s="26">
        <f>('Data Dashboard'!O13-AVERAGE('Data Dashboard'!$O$5:$O$14))/_xlfn.STDEV.S('Data Dashboard'!$O$5:$O$14)</f>
        <v>-0.8184985276684752</v>
      </c>
    </row>
    <row r="127" spans="1:6" x14ac:dyDescent="0.2">
      <c r="A127" s="27" t="str">
        <f>'Data Dashboard'!A14</f>
        <v>Lucknow Super Giants</v>
      </c>
      <c r="B127" s="26">
        <f>('Data Dashboard'!B14-AVERAGE('Data Dashboard'!$B$5:$B$14))/_xlfn.STDEV.S('Data Dashboard'!$B$5:$B$14)</f>
        <v>-1.1381178047051477</v>
      </c>
      <c r="C127" s="26">
        <f>('Data Dashboard'!K14-AVERAGE('Data Dashboard'!$K$5:$K$14))/_xlfn.STDEV.S('Data Dashboard'!$K$5:$K$14)</f>
        <v>-1.1728297227698434</v>
      </c>
      <c r="D127" s="26">
        <f>('Data Dashboard'!G14-AVERAGE('Data Dashboard'!$G$5:$G$14))/_xlfn.STDEV.S('Data Dashboard'!$G$5:$G$14)</f>
        <v>0.927918858207332</v>
      </c>
      <c r="E127" s="26">
        <f>('Data Dashboard'!D14-AVERAGE('Data Dashboard'!$D$5:$D$14))/_xlfn.STDEV.S('Data Dashboard'!$D$5:$D$14)</f>
        <v>-0.93158850511217828</v>
      </c>
      <c r="F127" s="26">
        <f>('Data Dashboard'!O14-AVERAGE('Data Dashboard'!$O$5:$O$14))/_xlfn.STDEV.S('Data Dashboard'!$O$5:$O$14)</f>
        <v>-0.93149699145208831</v>
      </c>
    </row>
    <row r="129" spans="1:6" x14ac:dyDescent="0.2">
      <c r="A129" s="10"/>
    </row>
    <row r="130" spans="1:6" x14ac:dyDescent="0.2">
      <c r="B130" s="3" t="s">
        <v>212</v>
      </c>
      <c r="C130" s="3" t="s">
        <v>213</v>
      </c>
      <c r="D130" s="3" t="s">
        <v>214</v>
      </c>
      <c r="E130" s="3" t="s">
        <v>215</v>
      </c>
      <c r="F130" s="3" t="s">
        <v>216</v>
      </c>
    </row>
    <row r="131" spans="1:6" x14ac:dyDescent="0.2">
      <c r="A131" s="4" t="s">
        <v>179</v>
      </c>
      <c r="B131" s="26">
        <f t="array" ref="B131:F135">LINEST(B118:B127,C118:F127,TRUE(),TRUE())</f>
        <v>0.66125799839472388</v>
      </c>
      <c r="C131" s="26">
        <v>0.23230469048627914</v>
      </c>
      <c r="D131" s="26">
        <v>-0.13320192868083339</v>
      </c>
      <c r="E131" s="26">
        <v>0.10621769201047511</v>
      </c>
      <c r="F131" s="26">
        <v>2.2207640616314258E-16</v>
      </c>
    </row>
    <row r="132" spans="1:6" x14ac:dyDescent="0.2">
      <c r="A132" s="4" t="s">
        <v>180</v>
      </c>
      <c r="B132" s="26">
        <v>0.31472251543216234</v>
      </c>
      <c r="C132" s="26">
        <v>0.31650955238868878</v>
      </c>
      <c r="D132" s="26">
        <v>0.17780935554850685</v>
      </c>
      <c r="E132" s="26">
        <v>0.18468729254018496</v>
      </c>
      <c r="F132" s="26">
        <v>0.15530319010738375</v>
      </c>
    </row>
    <row r="133" spans="1:6" x14ac:dyDescent="0.2">
      <c r="A133" s="4" t="s">
        <v>181</v>
      </c>
      <c r="B133" s="26">
        <v>0.86600510634705463</v>
      </c>
      <c r="C133" s="26">
        <v>0.49111180862946247</v>
      </c>
      <c r="D133" s="26" t="e">
        <v>#N/A</v>
      </c>
      <c r="E133" s="26" t="e">
        <v>#N/A</v>
      </c>
      <c r="F133" s="26" t="e">
        <v>#N/A</v>
      </c>
    </row>
    <row r="134" spans="1:6" x14ac:dyDescent="0.2">
      <c r="A134" s="4" t="s">
        <v>182</v>
      </c>
      <c r="B134" s="26">
        <v>8.0787136988785022</v>
      </c>
      <c r="C134" s="26">
        <v>5</v>
      </c>
      <c r="D134" s="26" t="e">
        <v>#N/A</v>
      </c>
      <c r="E134" s="26" t="e">
        <v>#N/A</v>
      </c>
      <c r="F134" s="26" t="e">
        <v>#N/A</v>
      </c>
    </row>
    <row r="135" spans="1:6" x14ac:dyDescent="0.2">
      <c r="A135" s="4" t="s">
        <v>183</v>
      </c>
      <c r="B135" s="26">
        <v>7.7940459571234912</v>
      </c>
      <c r="C135" s="26">
        <v>1.2059540428765088</v>
      </c>
      <c r="D135" s="26" t="e">
        <v>#N/A</v>
      </c>
      <c r="E135" s="26" t="e">
        <v>#N/A</v>
      </c>
      <c r="F135" s="26" t="e">
        <v>#N/A</v>
      </c>
    </row>
    <row r="137" spans="1:6" x14ac:dyDescent="0.2">
      <c r="A137" s="20" t="s">
        <v>217</v>
      </c>
    </row>
    <row r="138" spans="1:6" x14ac:dyDescent="0.2">
      <c r="A138" s="31" t="s">
        <v>218</v>
      </c>
      <c r="B138" s="3" t="s">
        <v>219</v>
      </c>
    </row>
    <row r="139" spans="1:6" x14ac:dyDescent="0.2">
      <c r="A139" s="4" t="s">
        <v>59</v>
      </c>
      <c r="B139" s="26">
        <f>E131</f>
        <v>0.10621769201047511</v>
      </c>
    </row>
    <row r="140" spans="1:6" x14ac:dyDescent="0.2">
      <c r="A140" s="4" t="s">
        <v>220</v>
      </c>
      <c r="B140" s="26">
        <f>D131</f>
        <v>-0.13320192868083339</v>
      </c>
    </row>
    <row r="141" spans="1:6" x14ac:dyDescent="0.2">
      <c r="A141" s="4" t="s">
        <v>4</v>
      </c>
      <c r="B141" s="26">
        <f>C131</f>
        <v>0.23230469048627914</v>
      </c>
    </row>
    <row r="142" spans="1:6" x14ac:dyDescent="0.2">
      <c r="A142" s="4" t="s">
        <v>60</v>
      </c>
      <c r="B142" s="26">
        <f>B131</f>
        <v>0.66125799839472388</v>
      </c>
    </row>
  </sheetData>
  <mergeCells count="5">
    <mergeCell ref="A16:F16"/>
    <mergeCell ref="A36:F36"/>
    <mergeCell ref="A39:F39"/>
    <mergeCell ref="A112:F112"/>
    <mergeCell ref="A116:F116"/>
  </mergeCell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9"/>
  <sheetViews>
    <sheetView topLeftCell="A19" zoomScale="150" zoomScaleNormal="100" workbookViewId="0">
      <selection activeCell="A32" sqref="A32"/>
    </sheetView>
  </sheetViews>
  <sheetFormatPr baseColWidth="10" defaultColWidth="8.6640625" defaultRowHeight="15" x14ac:dyDescent="0.2"/>
  <cols>
    <col min="1" max="1" width="40" customWidth="1"/>
    <col min="2" max="6" width="14" customWidth="1"/>
  </cols>
  <sheetData>
    <row r="1" spans="1:6" ht="20" x14ac:dyDescent="0.2">
      <c r="A1" s="1" t="s">
        <v>221</v>
      </c>
    </row>
    <row r="2" spans="1:6" x14ac:dyDescent="0.2">
      <c r="A2" s="2"/>
    </row>
    <row r="4" spans="1:6" ht="18" x14ac:dyDescent="0.2">
      <c r="A4" s="25" t="s">
        <v>222</v>
      </c>
    </row>
    <row r="5" spans="1:6" x14ac:dyDescent="0.2">
      <c r="A5" s="10" t="s">
        <v>223</v>
      </c>
    </row>
    <row r="6" spans="1:6" x14ac:dyDescent="0.2">
      <c r="A6" s="12" t="s">
        <v>224</v>
      </c>
      <c r="B6" s="16">
        <f t="array" ref="B6">MAX(ABS('6. Regression Engine'!B139:B142))</f>
        <v>0.66125799839472388</v>
      </c>
    </row>
    <row r="7" spans="1:6" x14ac:dyDescent="0.2">
      <c r="A7" s="12" t="s">
        <v>225</v>
      </c>
      <c r="B7" s="20" t="str">
        <f>INDEX('6. Regression Engine'!A139:A142,MATCH($B$6,'6. Regression Engine'!B139:B142,0))</f>
        <v>Social Followers</v>
      </c>
    </row>
    <row r="8" spans="1:6" x14ac:dyDescent="0.2">
      <c r="A8" s="12" t="s">
        <v>226</v>
      </c>
      <c r="B8" s="15">
        <f>INDEX('6. Regression Engine'!B139:B142,MATCH($B$7,'6. Regression Engine'!A139:A142,0))</f>
        <v>0.66125799839472388</v>
      </c>
    </row>
    <row r="10" spans="1:6" x14ac:dyDescent="0.2">
      <c r="A10" s="10"/>
    </row>
    <row r="11" spans="1:6" ht="30" customHeight="1" x14ac:dyDescent="0.2">
      <c r="A11" s="46" t="str">
        <f>"Of the three levers tested — player acquisition (auction spend / win%), off-field digital content (social media), and market expansion (city GDP) — the hierarchical regression points to "&amp;CHAR(34)&amp;$B$7&amp;CHAR(34)&amp;" as carrying the most weight in the final model (standardized beta = "&amp;TEXT($B$8,"0.00")&amp;"). Recommendation: an IPL management board evaluating where to send its next marginal million dollars should prioritize off-field digital content and fan engagement over incremental auction spend."</f>
        <v>Of the three levers tested — player acquisition (auction spend / win%), off-field digital content (social media), and market expansion (city GDP) — the hierarchical regression points to "Social Followers" as carrying the most weight in the final model (standardized beta = 0.66). Recommendation: an IPL management board evaluating where to send its next marginal million dollars should prioritize off-field digital content and fan engagement over incremental auction spend.</v>
      </c>
      <c r="B11" s="46"/>
      <c r="C11" s="46"/>
      <c r="D11" s="46"/>
      <c r="E11" s="46"/>
      <c r="F11" s="46"/>
    </row>
    <row r="12" spans="1:6" x14ac:dyDescent="0.2">
      <c r="A12" s="46"/>
      <c r="B12" s="46"/>
      <c r="C12" s="46"/>
      <c r="D12" s="46"/>
      <c r="E12" s="46"/>
      <c r="F12" s="46"/>
    </row>
    <row r="13" spans="1:6" x14ac:dyDescent="0.2">
      <c r="A13" s="46"/>
      <c r="B13" s="46"/>
      <c r="C13" s="46"/>
      <c r="D13" s="46"/>
      <c r="E13" s="46"/>
      <c r="F13" s="46"/>
    </row>
    <row r="14" spans="1:6" x14ac:dyDescent="0.2">
      <c r="A14" s="46"/>
      <c r="B14" s="46"/>
      <c r="C14" s="46"/>
      <c r="D14" s="46"/>
      <c r="E14" s="46"/>
      <c r="F14" s="46"/>
    </row>
    <row r="17" spans="1:6" ht="17" x14ac:dyDescent="0.2">
      <c r="A17" s="11" t="s">
        <v>227</v>
      </c>
    </row>
    <row r="18" spans="1:6" ht="30" customHeight="1" x14ac:dyDescent="0.2">
      <c r="A18" s="43" t="s">
        <v>228</v>
      </c>
      <c r="B18" s="43"/>
      <c r="C18" s="43"/>
      <c r="D18" s="43"/>
      <c r="E18" s="43"/>
      <c r="F18" s="43"/>
    </row>
    <row r="19" spans="1:6" x14ac:dyDescent="0.2">
      <c r="A19" s="12" t="s">
        <v>229</v>
      </c>
      <c r="B19" s="15">
        <f>'6. Regression Engine'!B110</f>
        <v>0.11830537949007947</v>
      </c>
    </row>
    <row r="20" spans="1:6" ht="30" customHeight="1" x14ac:dyDescent="0.2">
      <c r="A20" s="43" t="s">
        <v>230</v>
      </c>
      <c r="B20" s="43"/>
      <c r="C20" s="43"/>
      <c r="D20" s="43"/>
      <c r="E20" s="43"/>
      <c r="F20" s="43"/>
    </row>
    <row r="21" spans="1:6" ht="30" customHeight="1" x14ac:dyDescent="0.2">
      <c r="A21" s="43" t="s">
        <v>231</v>
      </c>
      <c r="B21" s="43"/>
      <c r="C21" s="43"/>
      <c r="D21" s="43"/>
      <c r="E21" s="43"/>
      <c r="F21" s="43"/>
    </row>
    <row r="22" spans="1:6" ht="54.75" customHeight="1" x14ac:dyDescent="0.2">
      <c r="A22" s="43" t="s">
        <v>232</v>
      </c>
      <c r="B22" s="43"/>
      <c r="C22" s="43"/>
      <c r="D22" s="43"/>
      <c r="E22" s="43"/>
      <c r="F22" s="43"/>
    </row>
    <row r="24" spans="1:6" ht="17" x14ac:dyDescent="0.2">
      <c r="A24" s="11" t="s">
        <v>243</v>
      </c>
    </row>
    <row r="25" spans="1:6" ht="31.5" customHeight="1" x14ac:dyDescent="0.2">
      <c r="A25" s="42" t="s">
        <v>233</v>
      </c>
      <c r="B25" s="42"/>
      <c r="C25" s="42"/>
      <c r="D25" s="42"/>
      <c r="E25" s="42"/>
      <c r="F25" s="42"/>
    </row>
    <row r="26" spans="1:6" ht="31.5" customHeight="1" x14ac:dyDescent="0.2">
      <c r="A26" s="42" t="s">
        <v>234</v>
      </c>
      <c r="B26" s="42"/>
      <c r="C26" s="42"/>
      <c r="D26" s="42"/>
      <c r="E26" s="42"/>
      <c r="F26" s="42"/>
    </row>
    <row r="27" spans="1:6" ht="31.5" customHeight="1" x14ac:dyDescent="0.2">
      <c r="A27" s="42" t="s">
        <v>235</v>
      </c>
      <c r="B27" s="42"/>
      <c r="C27" s="42"/>
      <c r="D27" s="42"/>
      <c r="E27" s="42"/>
      <c r="F27" s="42"/>
    </row>
    <row r="28" spans="1:6" ht="31.5" customHeight="1" x14ac:dyDescent="0.2">
      <c r="A28" s="47" t="s">
        <v>236</v>
      </c>
      <c r="B28" s="42"/>
      <c r="C28" s="42"/>
      <c r="D28" s="42"/>
      <c r="E28" s="42"/>
      <c r="F28" s="42"/>
    </row>
    <row r="29" spans="1:6" ht="31.5" customHeight="1" x14ac:dyDescent="0.2">
      <c r="A29" s="42"/>
      <c r="B29" s="42"/>
      <c r="C29" s="42"/>
      <c r="D29" s="42"/>
      <c r="E29" s="42"/>
      <c r="F29" s="42"/>
    </row>
  </sheetData>
  <mergeCells count="10">
    <mergeCell ref="A25:F25"/>
    <mergeCell ref="A26:F26"/>
    <mergeCell ref="A27:F27"/>
    <mergeCell ref="A28:F28"/>
    <mergeCell ref="A29:F29"/>
    <mergeCell ref="A11:F14"/>
    <mergeCell ref="A18:F18"/>
    <mergeCell ref="A20:F20"/>
    <mergeCell ref="A21:F21"/>
    <mergeCell ref="A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Data Dashboard</vt:lpstr>
      <vt:lpstr>2. Descriptives &amp; Correlation</vt:lpstr>
      <vt:lpstr>3. Probability &amp; Distributions</vt:lpstr>
      <vt:lpstr>Raw NRR Data</vt:lpstr>
      <vt:lpstr>4. Confidence Intervals</vt:lpstr>
      <vt:lpstr>5. Hypothesis Testing</vt:lpstr>
      <vt:lpstr>Rough for regression</vt:lpstr>
      <vt:lpstr>6. Regression Engine</vt:lpstr>
      <vt:lpstr>7. Final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KUNWAR ATUL ANG</cp:lastModifiedBy>
  <cp:revision>1</cp:revision>
  <dcterms:created xsi:type="dcterms:W3CDTF">2026-09-01T18:41:08Z</dcterms:created>
  <dcterms:modified xsi:type="dcterms:W3CDTF">2026-09-17T18:12:25Z</dcterms:modified>
  <dc:language>en-US</dc:language>
</cp:coreProperties>
</file>